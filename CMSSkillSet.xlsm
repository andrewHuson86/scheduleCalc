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tateofwa-my.sharepoint.com/personal/andrew_huson_dcyf_wa_gov/Documents/Desktop/Current Projects/"/>
    </mc:Choice>
  </mc:AlternateContent>
  <xr:revisionPtr revIDLastSave="225" documentId="13_ncr:1_{F86498D3-3E60-42C0-9DB2-1CD7549D4658}" xr6:coauthVersionLast="47" xr6:coauthVersionMax="47" xr10:uidLastSave="{9329EDAA-0C38-4A03-A949-F0DB56358341}"/>
  <bookViews>
    <workbookView xWindow="915" yWindow="105" windowWidth="25755" windowHeight="14880" xr2:uid="{B03B28B5-C55A-4B97-8D1B-6BD26CB44C9C}"/>
  </bookViews>
  <sheets>
    <sheet name="wkrData" sheetId="1" r:id="rId1"/>
  </sheets>
  <functionGroups builtInGroupCount="19"/>
  <definedNames>
    <definedName name="_xlnm._FilterDatabase" localSheetId="0" hidden="1">wkrData!$A$2:$K$157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P2" i="1" l="1" a="1"/>
  <c r="N2" i="1" s="1" a="1"/>
  <c r="Q2" i="1"/>
  <c r="M2" i="1"/>
  <c r="T2" i="1" l="1"/>
  <c r="T3" i="1" s="1"/>
  <c r="T4" i="1" l="1"/>
  <c r="T5" i="1" l="1"/>
  <c r="T6" i="1" l="1"/>
  <c r="T7" i="1" s="1"/>
  <c r="T8" i="1" s="1"/>
  <c r="T9" i="1" s="1"/>
  <c r="T10" i="1" s="1"/>
  <c r="T11" i="1" s="1"/>
  <c r="T12" i="1" s="1"/>
  <c r="T13" i="1" s="1"/>
  <c r="T14" i="1" s="1"/>
  <c r="T15" i="1" s="1"/>
  <c r="T16" i="1" s="1"/>
  <c r="T17" i="1" s="1"/>
  <c r="Q3" i="1"/>
  <c r="O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Huson, Andrew (DCYF)</author>
  </authors>
  <commentList>
    <comment ref="I2" authorId="0" shapeId="0" xr:uid="{9EEBC7DF-D73C-4293-9383-2B63764AC729}">
      <text>
        <r>
          <rPr>
            <b/>
            <sz val="9"/>
            <color indexed="81"/>
            <rFont val="Tahoma"/>
            <family val="2"/>
          </rPr>
          <t>1 for provider team staff, 0 for everyone else, Provider rotation should be 0 for provider team members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" authorId="0" shapeId="0" xr:uid="{0571CB6E-1ECA-4380-8EE0-5E2E34C41999}">
      <text>
        <r>
          <rPr>
            <b/>
            <sz val="9"/>
            <color indexed="81"/>
            <rFont val="Tahoma"/>
            <family val="2"/>
          </rPr>
          <t>0 For most people, group number 1 through max groups, for dual language spanish staff.</t>
        </r>
      </text>
    </comment>
    <comment ref="K2" authorId="0" shapeId="0" xr:uid="{149D8B67-5A6F-4A78-BEE6-3C62962D0B08}">
      <text>
        <r>
          <rPr>
            <b/>
            <sz val="9"/>
            <color indexed="81"/>
            <rFont val="Tahoma"/>
            <family val="2"/>
          </rPr>
          <t>For people who are eligible to be a backup provider line staff, this should be 1, otherwise 0.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<sst xmlns="http://schemas.openxmlformats.org/spreadsheetml/2006/main" count="969" uniqueCount="792">
  <si>
    <t>Agent ID</t>
  </si>
  <si>
    <t>Ext Num</t>
  </si>
  <si>
    <t>SPE4</t>
  </si>
  <si>
    <t>SPW4</t>
  </si>
  <si>
    <t>SPE2</t>
  </si>
  <si>
    <t>SPW6</t>
  </si>
  <si>
    <t>SPW2</t>
  </si>
  <si>
    <t>SPW8</t>
  </si>
  <si>
    <t>SPW5</t>
  </si>
  <si>
    <t>SPE1</t>
  </si>
  <si>
    <t>SPE7</t>
  </si>
  <si>
    <t>SPW7</t>
  </si>
  <si>
    <t>SPE3</t>
  </si>
  <si>
    <t>SPW3</t>
  </si>
  <si>
    <t>SPE5</t>
  </si>
  <si>
    <t>SPE8</t>
  </si>
  <si>
    <t>SPW1</t>
  </si>
  <si>
    <t>SPE6</t>
  </si>
  <si>
    <t>Last Name</t>
  </si>
  <si>
    <t>MARTINEZ</t>
  </si>
  <si>
    <t>PANTELEEFF</t>
  </si>
  <si>
    <t>MINEAR</t>
  </si>
  <si>
    <t>BLANK</t>
  </si>
  <si>
    <t>CORLETTE</t>
  </si>
  <si>
    <t>KOHLENBERG</t>
  </si>
  <si>
    <t>BELL</t>
  </si>
  <si>
    <t>POPE</t>
  </si>
  <si>
    <t>WILLSON</t>
  </si>
  <si>
    <t>DRURY</t>
  </si>
  <si>
    <t>STANFORD-WOODIWISS</t>
  </si>
  <si>
    <t>TRUJILLO</t>
  </si>
  <si>
    <t>KLAYUM</t>
  </si>
  <si>
    <t>LAMB</t>
  </si>
  <si>
    <t>HEINZ</t>
  </si>
  <si>
    <t>PILZ</t>
  </si>
  <si>
    <t>WILLIAMS</t>
  </si>
  <si>
    <t>LOONEY</t>
  </si>
  <si>
    <t>BAINARD</t>
  </si>
  <si>
    <t>CARDENAS</t>
  </si>
  <si>
    <t>WINGS</t>
  </si>
  <si>
    <t>YOUNG</t>
  </si>
  <si>
    <t>ADKINS</t>
  </si>
  <si>
    <t>DOONAN</t>
  </si>
  <si>
    <t>DANIELS</t>
  </si>
  <si>
    <t>SANTOS</t>
  </si>
  <si>
    <t>JOHNSON</t>
  </si>
  <si>
    <t>THROLSON</t>
  </si>
  <si>
    <t>GILBERT</t>
  </si>
  <si>
    <t>WLODARCHAK</t>
  </si>
  <si>
    <t>MILLER</t>
  </si>
  <si>
    <t>BLAND</t>
  </si>
  <si>
    <t>PEDRAZA</t>
  </si>
  <si>
    <t>MEJIA</t>
  </si>
  <si>
    <t>ARANDA</t>
  </si>
  <si>
    <t>COVARRUBIAS</t>
  </si>
  <si>
    <t>GONZALEZ</t>
  </si>
  <si>
    <t>CRIBBS</t>
  </si>
  <si>
    <t>HERNANDEZ-COLMENARES</t>
  </si>
  <si>
    <t>STRATTON</t>
  </si>
  <si>
    <t>WILLIAMSON</t>
  </si>
  <si>
    <t>ERICKSON</t>
  </si>
  <si>
    <t>PAT</t>
  </si>
  <si>
    <t>OURADA</t>
  </si>
  <si>
    <t>LEBLANC</t>
  </si>
  <si>
    <t>RODRIGUEZ</t>
  </si>
  <si>
    <t>HENDRICKSON</t>
  </si>
  <si>
    <t>GOODRICH</t>
  </si>
  <si>
    <t>NUNES</t>
  </si>
  <si>
    <t>SIDES</t>
  </si>
  <si>
    <t>BECHARD</t>
  </si>
  <si>
    <t>MIRANDA</t>
  </si>
  <si>
    <t>BARRERA</t>
  </si>
  <si>
    <t>OGLESBEE</t>
  </si>
  <si>
    <t>DE LA CRUZ</t>
  </si>
  <si>
    <t>MORALES</t>
  </si>
  <si>
    <t>CERVANTES</t>
  </si>
  <si>
    <t>ROBERTS</t>
  </si>
  <si>
    <t>OSTLER</t>
  </si>
  <si>
    <t>CADENGO</t>
  </si>
  <si>
    <t>MUNRO</t>
  </si>
  <si>
    <t>DUARTE</t>
  </si>
  <si>
    <t>TORRES</t>
  </si>
  <si>
    <t>GALLARDO</t>
  </si>
  <si>
    <t>JACOBS</t>
  </si>
  <si>
    <t>CUEVAS</t>
  </si>
  <si>
    <t>SENNER</t>
  </si>
  <si>
    <t>KNUDSEN</t>
  </si>
  <si>
    <t>SCHUTZ</t>
  </si>
  <si>
    <t>VALENTINE</t>
  </si>
  <si>
    <t>RUFFIN</t>
  </si>
  <si>
    <t>BRYAN</t>
  </si>
  <si>
    <t>GUNN</t>
  </si>
  <si>
    <t>TOLBERT</t>
  </si>
  <si>
    <t>NGONEVOLALATH</t>
  </si>
  <si>
    <t>LANPHEAR</t>
  </si>
  <si>
    <t>JUAREZ</t>
  </si>
  <si>
    <t>BIRKS</t>
  </si>
  <si>
    <t>RIVERA MENDOZA</t>
  </si>
  <si>
    <t>DOWLING</t>
  </si>
  <si>
    <t>COOPER</t>
  </si>
  <si>
    <t>RAMIREZ</t>
  </si>
  <si>
    <t>NAHAR</t>
  </si>
  <si>
    <t>GARZA</t>
  </si>
  <si>
    <t>PATRICK</t>
  </si>
  <si>
    <t>NEVEU</t>
  </si>
  <si>
    <t>ROSE</t>
  </si>
  <si>
    <t>POOLEY</t>
  </si>
  <si>
    <t>VAN LAEKEN</t>
  </si>
  <si>
    <t>BUENO</t>
  </si>
  <si>
    <t>MEDRANO</t>
  </si>
  <si>
    <t>LOPEZ</t>
  </si>
  <si>
    <t>ANDERSON</t>
  </si>
  <si>
    <t>ALTHAUSER</t>
  </si>
  <si>
    <t>DUCKEN</t>
  </si>
  <si>
    <t>BENTLEY</t>
  </si>
  <si>
    <t>OSEGUERA</t>
  </si>
  <si>
    <t>MORFIN</t>
  </si>
  <si>
    <t>GRAY</t>
  </si>
  <si>
    <t>MCKEE</t>
  </si>
  <si>
    <t>AL-TAROUTI</t>
  </si>
  <si>
    <t>AVERY</t>
  </si>
  <si>
    <t>CARLSON</t>
  </si>
  <si>
    <t>CLARK</t>
  </si>
  <si>
    <t>MILES</t>
  </si>
  <si>
    <t>GOMEZ</t>
  </si>
  <si>
    <t>ESQUEDA</t>
  </si>
  <si>
    <t>BUCINS</t>
  </si>
  <si>
    <t>CLAYTON</t>
  </si>
  <si>
    <t>THOMAS</t>
  </si>
  <si>
    <t>PEREZ-GOMEZ</t>
  </si>
  <si>
    <t>PEREZ</t>
  </si>
  <si>
    <t>BARBER</t>
  </si>
  <si>
    <t>HALL</t>
  </si>
  <si>
    <t>CHEVES</t>
  </si>
  <si>
    <t>LEDBETTER</t>
  </si>
  <si>
    <t>SIFUENTES</t>
  </si>
  <si>
    <t>MONTGOMERY</t>
  </si>
  <si>
    <t>VALDEZ</t>
  </si>
  <si>
    <t>BOARDMAN</t>
  </si>
  <si>
    <t>SADOVA</t>
  </si>
  <si>
    <t>HEDE</t>
  </si>
  <si>
    <t>TAN</t>
  </si>
  <si>
    <t>LARSON</t>
  </si>
  <si>
    <t>MENA-SALGADO</t>
  </si>
  <si>
    <t>REED</t>
  </si>
  <si>
    <t>VELAZQUEZ ORTIZ</t>
  </si>
  <si>
    <t>CHEA</t>
  </si>
  <si>
    <t>BAILEY</t>
  </si>
  <si>
    <t>LAINEZ</t>
  </si>
  <si>
    <t>HILDEBRAND</t>
  </si>
  <si>
    <t>LAUKALA</t>
  </si>
  <si>
    <t>WESTLING</t>
  </si>
  <si>
    <t>PLASENCIA</t>
  </si>
  <si>
    <t>CAVANAGH</t>
  </si>
  <si>
    <t>MADERA</t>
  </si>
  <si>
    <t>SWANSER</t>
  </si>
  <si>
    <t>HERNANDEZ</t>
  </si>
  <si>
    <t>LIM</t>
  </si>
  <si>
    <t>RUVALCABA</t>
  </si>
  <si>
    <t>KELLY</t>
  </si>
  <si>
    <t>WILSON</t>
  </si>
  <si>
    <t>PAINTNER</t>
  </si>
  <si>
    <t>GRANT</t>
  </si>
  <si>
    <t>CONNER</t>
  </si>
  <si>
    <t>ARMSTRONG</t>
  </si>
  <si>
    <t>HARRISON</t>
  </si>
  <si>
    <t>ZAMORA CHAMORRO</t>
  </si>
  <si>
    <t>TATGE</t>
  </si>
  <si>
    <t>First Name</t>
  </si>
  <si>
    <t>MICHELLE</t>
  </si>
  <si>
    <t>HEATHER</t>
  </si>
  <si>
    <t>CAROL</t>
  </si>
  <si>
    <t>JULI</t>
  </si>
  <si>
    <t>SHAYLA</t>
  </si>
  <si>
    <t>ALISON</t>
  </si>
  <si>
    <t>ANJA</t>
  </si>
  <si>
    <t>EMILY</t>
  </si>
  <si>
    <t>KRISTI</t>
  </si>
  <si>
    <t>APRIL (JENNY)</t>
  </si>
  <si>
    <t>KATIE</t>
  </si>
  <si>
    <t>MAYRA</t>
  </si>
  <si>
    <t>TRAVIS</t>
  </si>
  <si>
    <t>NICHOLE</t>
  </si>
  <si>
    <t>JESSICA</t>
  </si>
  <si>
    <t>ZACHARY</t>
  </si>
  <si>
    <t>MARKO</t>
  </si>
  <si>
    <t>ERINE</t>
  </si>
  <si>
    <t>SHERRI</t>
  </si>
  <si>
    <t>SANDRA</t>
  </si>
  <si>
    <t>CAROLINA</t>
  </si>
  <si>
    <t>TARA</t>
  </si>
  <si>
    <t>LACIE</t>
  </si>
  <si>
    <t>CHRISTINA</t>
  </si>
  <si>
    <t>AYANA</t>
  </si>
  <si>
    <t>KACIE</t>
  </si>
  <si>
    <t>MARYANNE</t>
  </si>
  <si>
    <t>KRISTIN</t>
  </si>
  <si>
    <t>ELANA</t>
  </si>
  <si>
    <t>TINA</t>
  </si>
  <si>
    <t>YOLANDA</t>
  </si>
  <si>
    <t>SILVIA</t>
  </si>
  <si>
    <t>NORMA</t>
  </si>
  <si>
    <t>LILIANA</t>
  </si>
  <si>
    <t>NINA</t>
  </si>
  <si>
    <t>JESSENIA</t>
  </si>
  <si>
    <t>EDWARD</t>
  </si>
  <si>
    <t>ALYSSA</t>
  </si>
  <si>
    <t>MOLLY</t>
  </si>
  <si>
    <t>NICOLE</t>
  </si>
  <si>
    <t>DANIELLE</t>
  </si>
  <si>
    <t>NATALIE</t>
  </si>
  <si>
    <t>CINDY</t>
  </si>
  <si>
    <t>ASHLEY</t>
  </si>
  <si>
    <t>TRICIA</t>
  </si>
  <si>
    <t>TIMOTHY</t>
  </si>
  <si>
    <t>LORI</t>
  </si>
  <si>
    <t>ABBEY</t>
  </si>
  <si>
    <t>JUAN</t>
  </si>
  <si>
    <t>ANA</t>
  </si>
  <si>
    <t>KRYSTA</t>
  </si>
  <si>
    <t>NOEMI</t>
  </si>
  <si>
    <t>SOPHIA</t>
  </si>
  <si>
    <t>ARMADINA</t>
  </si>
  <si>
    <t>LAURIE</t>
  </si>
  <si>
    <t>KIANN</t>
  </si>
  <si>
    <t>LORRAINE</t>
  </si>
  <si>
    <t>DAVID</t>
  </si>
  <si>
    <t>MARIA</t>
  </si>
  <si>
    <t>DIANA</t>
  </si>
  <si>
    <t>ELSA</t>
  </si>
  <si>
    <t>CHARLIZE</t>
  </si>
  <si>
    <t>SYLVIA</t>
  </si>
  <si>
    <t>REBEKAH</t>
  </si>
  <si>
    <t>COURTNEY</t>
  </si>
  <si>
    <t>MARCUS</t>
  </si>
  <si>
    <t>BETH</t>
  </si>
  <si>
    <t>AMY</t>
  </si>
  <si>
    <t>KEISHA</t>
  </si>
  <si>
    <t>LEROY</t>
  </si>
  <si>
    <t>STACIA</t>
  </si>
  <si>
    <t>KRISTEN</t>
  </si>
  <si>
    <t>JULIE</t>
  </si>
  <si>
    <t>TIFFANY</t>
  </si>
  <si>
    <t>REBECCA (BECKY)</t>
  </si>
  <si>
    <t>JENNICA</t>
  </si>
  <si>
    <t>EMMA</t>
  </si>
  <si>
    <t>SAMANTHA</t>
  </si>
  <si>
    <t>BRIANNA</t>
  </si>
  <si>
    <t>FAWN</t>
  </si>
  <si>
    <t>OTILIA</t>
  </si>
  <si>
    <t>KAMRUN</t>
  </si>
  <si>
    <t>BLANCA</t>
  </si>
  <si>
    <t>ELLIE</t>
  </si>
  <si>
    <t>ERIKA</t>
  </si>
  <si>
    <t>CHANTEL</t>
  </si>
  <si>
    <t>ARIEL</t>
  </si>
  <si>
    <t>LANDON</t>
  </si>
  <si>
    <t>LACEY</t>
  </si>
  <si>
    <t>MANUEL</t>
  </si>
  <si>
    <t>SARAH</t>
  </si>
  <si>
    <t>DOUGLAS</t>
  </si>
  <si>
    <t>REBEKKAH</t>
  </si>
  <si>
    <t>KYM</t>
  </si>
  <si>
    <t>JUANA</t>
  </si>
  <si>
    <t>KYLIE</t>
  </si>
  <si>
    <t>LEXUS</t>
  </si>
  <si>
    <t>AMINA</t>
  </si>
  <si>
    <t>FRANCISCA</t>
  </si>
  <si>
    <t>ALONDRA</t>
  </si>
  <si>
    <t>JENNIFER</t>
  </si>
  <si>
    <t>RENE</t>
  </si>
  <si>
    <t>GARY</t>
  </si>
  <si>
    <t>DOLORES</t>
  </si>
  <si>
    <t>KAYLA</t>
  </si>
  <si>
    <t>HEIDI</t>
  </si>
  <si>
    <t>EMILIE</t>
  </si>
  <si>
    <t>MARY</t>
  </si>
  <si>
    <t>CRAIG</t>
  </si>
  <si>
    <t>SHERILYN</t>
  </si>
  <si>
    <t>ELIZA</t>
  </si>
  <si>
    <t>MARISELA</t>
  </si>
  <si>
    <t>MELINDA</t>
  </si>
  <si>
    <t>VENEZIA</t>
  </si>
  <si>
    <t>MICHAEL</t>
  </si>
  <si>
    <t>OLGA</t>
  </si>
  <si>
    <t>HANNAH</t>
  </si>
  <si>
    <t>ALLEN</t>
  </si>
  <si>
    <t>JESUS</t>
  </si>
  <si>
    <t>NIKOLE</t>
  </si>
  <si>
    <t>YADIRA</t>
  </si>
  <si>
    <t>KIM</t>
  </si>
  <si>
    <t>MELANIE</t>
  </si>
  <si>
    <t>ANGELA</t>
  </si>
  <si>
    <t>TAMIE</t>
  </si>
  <si>
    <t>CAESAR</t>
  </si>
  <si>
    <t>CHRISTINE</t>
  </si>
  <si>
    <t>ANTONIO</t>
  </si>
  <si>
    <t>ELIZABETH</t>
  </si>
  <si>
    <t>RHONDA</t>
  </si>
  <si>
    <t>CYNTHIA</t>
  </si>
  <si>
    <t>VIRGINIA</t>
  </si>
  <si>
    <t>MEAGAN</t>
  </si>
  <si>
    <t>JAYLAN</t>
  </si>
  <si>
    <t>KELSEY</t>
  </si>
  <si>
    <t>WENDY</t>
  </si>
  <si>
    <t>RIMA</t>
  </si>
  <si>
    <t>LUCIA</t>
  </si>
  <si>
    <t>DANA</t>
  </si>
  <si>
    <t>Logon ID</t>
  </si>
  <si>
    <t>MARTIM2</t>
  </si>
  <si>
    <t>PANTEHR</t>
  </si>
  <si>
    <t>MINEAC1</t>
  </si>
  <si>
    <t>LONGEJM</t>
  </si>
  <si>
    <t>CORLESL</t>
  </si>
  <si>
    <t>KOHLEAM1</t>
  </si>
  <si>
    <t>BELLAV</t>
  </si>
  <si>
    <t>HOLLIEA</t>
  </si>
  <si>
    <t>WILSOKX</t>
  </si>
  <si>
    <t>ELIUMAV</t>
  </si>
  <si>
    <t>STANFKA</t>
  </si>
  <si>
    <t>TRUJILM</t>
  </si>
  <si>
    <t>KLAYUTW</t>
  </si>
  <si>
    <t>BUCHAND</t>
  </si>
  <si>
    <t>HEINZJE</t>
  </si>
  <si>
    <t>PILZZAA</t>
  </si>
  <si>
    <t>WILLIMD</t>
  </si>
  <si>
    <t>LOONEEL</t>
  </si>
  <si>
    <t>BAINASL</t>
  </si>
  <si>
    <t>CARDESL</t>
  </si>
  <si>
    <t>WINGSCR</t>
  </si>
  <si>
    <t>YOUNGTN</t>
  </si>
  <si>
    <t>ADKINLD</t>
  </si>
  <si>
    <t>DOONACM</t>
  </si>
  <si>
    <t>DANIEAL</t>
  </si>
  <si>
    <t>SANTOKE</t>
  </si>
  <si>
    <t>THROLMA</t>
  </si>
  <si>
    <t>GILBEKF</t>
  </si>
  <si>
    <t>WLODAEL</t>
  </si>
  <si>
    <t>MILLETR</t>
  </si>
  <si>
    <t>BLANYE</t>
  </si>
  <si>
    <t>PEDRASM</t>
  </si>
  <si>
    <t>MEJIANO</t>
  </si>
  <si>
    <t>ARANDJ1</t>
  </si>
  <si>
    <t>COVARLI</t>
  </si>
  <si>
    <t>GONZAJE</t>
  </si>
  <si>
    <t>CRIBBNA</t>
  </si>
  <si>
    <t>HERNAJC</t>
  </si>
  <si>
    <t>STRATEG</t>
  </si>
  <si>
    <t>WILLIEI</t>
  </si>
  <si>
    <t>ERICKA1</t>
  </si>
  <si>
    <t>PATMOLT</t>
  </si>
  <si>
    <t>OURADNL</t>
  </si>
  <si>
    <t>LEBLADA</t>
  </si>
  <si>
    <t>RODRINL</t>
  </si>
  <si>
    <t>HENDRICA</t>
  </si>
  <si>
    <t>HENDRAA</t>
  </si>
  <si>
    <t>GOODRTL</t>
  </si>
  <si>
    <t>NUNESTE</t>
  </si>
  <si>
    <t>SMARTLM</t>
  </si>
  <si>
    <t>BECHAAN</t>
  </si>
  <si>
    <t>MIRANJL</t>
  </si>
  <si>
    <t>BARREAC</t>
  </si>
  <si>
    <t>OGLESKM</t>
  </si>
  <si>
    <t>AGUILN</t>
  </si>
  <si>
    <t>MORALSO</t>
  </si>
  <si>
    <t>GONZAA</t>
  </si>
  <si>
    <t>ROBERLA</t>
  </si>
  <si>
    <t>OSTLEKK</t>
  </si>
  <si>
    <t>LOPEZLL</t>
  </si>
  <si>
    <t>MUNRODA</t>
  </si>
  <si>
    <t>RODRIMC</t>
  </si>
  <si>
    <t>DUARTD1</t>
  </si>
  <si>
    <t>TORRESE</t>
  </si>
  <si>
    <t>GALLACC</t>
  </si>
  <si>
    <t>JACOBSR</t>
  </si>
  <si>
    <t>CUEVARM</t>
  </si>
  <si>
    <t>MORRECJ</t>
  </si>
  <si>
    <t>KNUDSENM</t>
  </si>
  <si>
    <t>FARNSBM</t>
  </si>
  <si>
    <t>VALENAA</t>
  </si>
  <si>
    <t>RUFFIKA</t>
  </si>
  <si>
    <t>BRYANLT</t>
  </si>
  <si>
    <t>GUNNSTE</t>
  </si>
  <si>
    <t>DOWKM</t>
  </si>
  <si>
    <t>MORGAJA</t>
  </si>
  <si>
    <t>NGONEVT</t>
  </si>
  <si>
    <t>LANPHRL</t>
  </si>
  <si>
    <t>JUAREJA</t>
  </si>
  <si>
    <t>JOHNSEC</t>
  </si>
  <si>
    <t>BIRKSSA</t>
  </si>
  <si>
    <t>RIVERDI</t>
  </si>
  <si>
    <t>DOWLIBR</t>
  </si>
  <si>
    <t>COOPEFG</t>
  </si>
  <si>
    <t>RAMIRO1</t>
  </si>
  <si>
    <t>NAHARK</t>
  </si>
  <si>
    <t>MARTIBL</t>
  </si>
  <si>
    <t>FRITZEN</t>
  </si>
  <si>
    <t>SPENCEL</t>
  </si>
  <si>
    <t>ROSECHA</t>
  </si>
  <si>
    <t>POOLEAC1</t>
  </si>
  <si>
    <t>VANLALG</t>
  </si>
  <si>
    <t>BUENOLA</t>
  </si>
  <si>
    <t>MEDRAJM</t>
  </si>
  <si>
    <t>LOPEZSN</t>
  </si>
  <si>
    <t>ANDERDO</t>
  </si>
  <si>
    <t>ALTHARR</t>
  </si>
  <si>
    <t>DUCKEPJ</t>
  </si>
  <si>
    <t>BENTLKY</t>
  </si>
  <si>
    <t>OSEGUSL</t>
  </si>
  <si>
    <t>MORFIJ</t>
  </si>
  <si>
    <t>GRAYKYL</t>
  </si>
  <si>
    <t>MCKEELE</t>
  </si>
  <si>
    <t>ALTARAM</t>
  </si>
  <si>
    <t>TORREF</t>
  </si>
  <si>
    <t>RODRIGA</t>
  </si>
  <si>
    <t>AVERYAL</t>
  </si>
  <si>
    <t>CARLSRN</t>
  </si>
  <si>
    <t>CLARKER</t>
  </si>
  <si>
    <t>MILESGG</t>
  </si>
  <si>
    <t>GOMEZDM</t>
  </si>
  <si>
    <t>ESQUEKK</t>
  </si>
  <si>
    <t>BUCINHR</t>
  </si>
  <si>
    <t>CLAYTEC</t>
  </si>
  <si>
    <t>THOMAJ</t>
  </si>
  <si>
    <t>PEREZME</t>
  </si>
  <si>
    <t>BARBECK</t>
  </si>
  <si>
    <t>HALLS</t>
  </si>
  <si>
    <t>CHEVEEM</t>
  </si>
  <si>
    <t>LEDBEAM</t>
  </si>
  <si>
    <t>SIFUEM</t>
  </si>
  <si>
    <t>MONTGML</t>
  </si>
  <si>
    <t>VALDEVE</t>
  </si>
  <si>
    <t>BOARDPM</t>
  </si>
  <si>
    <t>SADOVO</t>
  </si>
  <si>
    <t>LOPEZKA</t>
  </si>
  <si>
    <t>HEDEHAR</t>
  </si>
  <si>
    <t>TANY</t>
  </si>
  <si>
    <t>LARSOLE</t>
  </si>
  <si>
    <t>MENASJ</t>
  </si>
  <si>
    <t>REEDNL2</t>
  </si>
  <si>
    <t>VELASYA</t>
  </si>
  <si>
    <t>CHEASAR</t>
  </si>
  <si>
    <t>BAILEKL</t>
  </si>
  <si>
    <t>LAINEMA</t>
  </si>
  <si>
    <t>HILDEAS</t>
  </si>
  <si>
    <t>LAUKATL</t>
  </si>
  <si>
    <t>WESTLJA</t>
  </si>
  <si>
    <t>PLASECA</t>
  </si>
  <si>
    <t>CAVANCH</t>
  </si>
  <si>
    <t>MADERA1</t>
  </si>
  <si>
    <t>SWANSEL</t>
  </si>
  <si>
    <t>HERNAEM</t>
  </si>
  <si>
    <t>LIMRHO</t>
  </si>
  <si>
    <t>PEREZCL</t>
  </si>
  <si>
    <t>RUVALVI</t>
  </si>
  <si>
    <t>KELLYMR</t>
  </si>
  <si>
    <t>WILSOJA</t>
  </si>
  <si>
    <t>PAINTKJ</t>
  </si>
  <si>
    <t>GRANTWJ</t>
  </si>
  <si>
    <t>CONNECL</t>
  </si>
  <si>
    <t>ARMSTRM</t>
  </si>
  <si>
    <t>HARRIHE</t>
  </si>
  <si>
    <t>ZAMORLU</t>
  </si>
  <si>
    <t>STONEDT</t>
  </si>
  <si>
    <t>Team</t>
  </si>
  <si>
    <t>00020</t>
  </si>
  <si>
    <t>00023</t>
  </si>
  <si>
    <t>00026</t>
  </si>
  <si>
    <t>00031</t>
  </si>
  <si>
    <t>00051</t>
  </si>
  <si>
    <t>00054</t>
  </si>
  <si>
    <t>00067</t>
  </si>
  <si>
    <t>00069</t>
  </si>
  <si>
    <t>00097</t>
  </si>
  <si>
    <t>00098</t>
  </si>
  <si>
    <t>00108</t>
  </si>
  <si>
    <t>00126</t>
  </si>
  <si>
    <t>00135</t>
  </si>
  <si>
    <t>00146</t>
  </si>
  <si>
    <t>00150</t>
  </si>
  <si>
    <t>00180</t>
  </si>
  <si>
    <t>00274</t>
  </si>
  <si>
    <t>00488</t>
  </si>
  <si>
    <t>00533</t>
  </si>
  <si>
    <t>00597</t>
  </si>
  <si>
    <t>00732</t>
  </si>
  <si>
    <t>00789</t>
  </si>
  <si>
    <t>00791</t>
  </si>
  <si>
    <t>00798</t>
  </si>
  <si>
    <t>00800</t>
  </si>
  <si>
    <t>00802</t>
  </si>
  <si>
    <t>01054</t>
  </si>
  <si>
    <t>01311</t>
  </si>
  <si>
    <t>01316</t>
  </si>
  <si>
    <t>01319</t>
  </si>
  <si>
    <t>01330</t>
  </si>
  <si>
    <t>01525</t>
  </si>
  <si>
    <t>01526</t>
  </si>
  <si>
    <t>01528</t>
  </si>
  <si>
    <t>01529</t>
  </si>
  <si>
    <t>01530</t>
  </si>
  <si>
    <t>01531</t>
  </si>
  <si>
    <t>01533</t>
  </si>
  <si>
    <t>01544</t>
  </si>
  <si>
    <t>01545</t>
  </si>
  <si>
    <t>01546</t>
  </si>
  <si>
    <t>01547</t>
  </si>
  <si>
    <t>01548</t>
  </si>
  <si>
    <t>01549</t>
  </si>
  <si>
    <t>01554</t>
  </si>
  <si>
    <t>01560</t>
  </si>
  <si>
    <t>01561</t>
  </si>
  <si>
    <t>01564</t>
  </si>
  <si>
    <t>01574</t>
  </si>
  <si>
    <t>01578</t>
  </si>
  <si>
    <t>01579</t>
  </si>
  <si>
    <t>01580</t>
  </si>
  <si>
    <t>01582</t>
  </si>
  <si>
    <t>01583</t>
  </si>
  <si>
    <t>01589</t>
  </si>
  <si>
    <t>01590</t>
  </si>
  <si>
    <t>01591</t>
  </si>
  <si>
    <t>01592</t>
  </si>
  <si>
    <t>01593</t>
  </si>
  <si>
    <t>01596</t>
  </si>
  <si>
    <t>01599</t>
  </si>
  <si>
    <t>01600</t>
  </si>
  <si>
    <t>01601</t>
  </si>
  <si>
    <t>01602</t>
  </si>
  <si>
    <t>01604</t>
  </si>
  <si>
    <t>01607</t>
  </si>
  <si>
    <t>01608</t>
  </si>
  <si>
    <t>01614</t>
  </si>
  <si>
    <t>01622</t>
  </si>
  <si>
    <t>01623</t>
  </si>
  <si>
    <t>01624</t>
  </si>
  <si>
    <t>01626</t>
  </si>
  <si>
    <t>01627</t>
  </si>
  <si>
    <t>01631</t>
  </si>
  <si>
    <t>01633</t>
  </si>
  <si>
    <t>01636</t>
  </si>
  <si>
    <t>01637</t>
  </si>
  <si>
    <t>01638</t>
  </si>
  <si>
    <t>01639</t>
  </si>
  <si>
    <t>01643</t>
  </si>
  <si>
    <t>01650</t>
  </si>
  <si>
    <t>01652</t>
  </si>
  <si>
    <t>01653</t>
  </si>
  <si>
    <t>01657</t>
  </si>
  <si>
    <t>01659</t>
  </si>
  <si>
    <t>01660</t>
  </si>
  <si>
    <t>01661</t>
  </si>
  <si>
    <t>01664</t>
  </si>
  <si>
    <t>01666</t>
  </si>
  <si>
    <t>01667</t>
  </si>
  <si>
    <t>01700</t>
  </si>
  <si>
    <t>01709</t>
  </si>
  <si>
    <t>01711</t>
  </si>
  <si>
    <t>01717</t>
  </si>
  <si>
    <t>01727</t>
  </si>
  <si>
    <t>01764</t>
  </si>
  <si>
    <t>01767</t>
  </si>
  <si>
    <t>01772</t>
  </si>
  <si>
    <t>01773</t>
  </si>
  <si>
    <t>01781</t>
  </si>
  <si>
    <t>01785</t>
  </si>
  <si>
    <t>01804</t>
  </si>
  <si>
    <t>01805</t>
  </si>
  <si>
    <t>01808</t>
  </si>
  <si>
    <t>01809</t>
  </si>
  <si>
    <t>01810</t>
  </si>
  <si>
    <t>01819</t>
  </si>
  <si>
    <t>01839</t>
  </si>
  <si>
    <t>01841</t>
  </si>
  <si>
    <t>01848</t>
  </si>
  <si>
    <t>01862</t>
  </si>
  <si>
    <t>01875</t>
  </si>
  <si>
    <t>01876</t>
  </si>
  <si>
    <t>01891</t>
  </si>
  <si>
    <t>01903</t>
  </si>
  <si>
    <t>01909</t>
  </si>
  <si>
    <t>01946</t>
  </si>
  <si>
    <t>01947</t>
  </si>
  <si>
    <t>01955</t>
  </si>
  <si>
    <t>01963</t>
  </si>
  <si>
    <t>01966</t>
  </si>
  <si>
    <t>01969</t>
  </si>
  <si>
    <t>01986</t>
  </si>
  <si>
    <t>01991</t>
  </si>
  <si>
    <t>02013</t>
  </si>
  <si>
    <t>02075</t>
  </si>
  <si>
    <t>02078</t>
  </si>
  <si>
    <t>02084</t>
  </si>
  <si>
    <t>02097</t>
  </si>
  <si>
    <t>02114</t>
  </si>
  <si>
    <t>02125</t>
  </si>
  <si>
    <t>02130</t>
  </si>
  <si>
    <t>02131</t>
  </si>
  <si>
    <t>02155</t>
  </si>
  <si>
    <t>02167</t>
  </si>
  <si>
    <t>02183</t>
  </si>
  <si>
    <t>02184</t>
  </si>
  <si>
    <t>02185</t>
  </si>
  <si>
    <t>02197</t>
  </si>
  <si>
    <t>02199</t>
  </si>
  <si>
    <t>02207</t>
  </si>
  <si>
    <t>02209</t>
  </si>
  <si>
    <t>02218</t>
  </si>
  <si>
    <t>02250</t>
  </si>
  <si>
    <t>02276</t>
  </si>
  <si>
    <t>03172</t>
  </si>
  <si>
    <t>03173</t>
  </si>
  <si>
    <t>03176</t>
  </si>
  <si>
    <t>03180</t>
  </si>
  <si>
    <t>03518</t>
  </si>
  <si>
    <t>03520</t>
  </si>
  <si>
    <t>03522</t>
  </si>
  <si>
    <t>03624</t>
  </si>
  <si>
    <t>03625</t>
  </si>
  <si>
    <t>03643</t>
  </si>
  <si>
    <t>Unit</t>
  </si>
  <si>
    <t>FSS Level</t>
  </si>
  <si>
    <t>Worker Attributes</t>
  </si>
  <si>
    <t>Spanish</t>
  </si>
  <si>
    <t>Provider</t>
  </si>
  <si>
    <t>Current Date</t>
  </si>
  <si>
    <t>Spanish Teams</t>
  </si>
  <si>
    <t>Counts</t>
  </si>
  <si>
    <t>Units</t>
  </si>
  <si>
    <t>Provider Backup Team</t>
  </si>
  <si>
    <t>Spanish Team</t>
  </si>
  <si>
    <t>Workday</t>
  </si>
  <si>
    <t>Year</t>
  </si>
  <si>
    <t>CMS Name</t>
  </si>
  <si>
    <t>SPE2 Medrano, J</t>
  </si>
  <si>
    <t>SPW6 Sadova, O</t>
  </si>
  <si>
    <t>SPW8 Conner, C</t>
  </si>
  <si>
    <t>SPW1 Grant, W</t>
  </si>
  <si>
    <t>SPW1 Johnson, E</t>
  </si>
  <si>
    <t>SPE4 Hendrickson, C</t>
  </si>
  <si>
    <t>SPW3 Senner, C</t>
  </si>
  <si>
    <t>SPE5 Birks, S</t>
  </si>
  <si>
    <t>SPW4 Plasencia, C</t>
  </si>
  <si>
    <t>SPW4 Swanser, E</t>
  </si>
  <si>
    <t>SPE2 Reed, N</t>
  </si>
  <si>
    <t>SPE5 LeBlanc, D</t>
  </si>
  <si>
    <t>SPE4 Barrera, A</t>
  </si>
  <si>
    <t>SPE5 Ducken, P</t>
  </si>
  <si>
    <t>SPW7 Pilz, Z</t>
  </si>
  <si>
    <t>SPE4 Valdez, V</t>
  </si>
  <si>
    <t>SPE3 Madera, A</t>
  </si>
  <si>
    <t>SPE1 Miranda, J</t>
  </si>
  <si>
    <t>SPE1 Heinz, J</t>
  </si>
  <si>
    <t>SPW8 Stratton, E</t>
  </si>
  <si>
    <t>SPW1 Lopez, K</t>
  </si>
  <si>
    <t>SPW7 Rodriguez, A</t>
  </si>
  <si>
    <t>SPW2 Adkins, L</t>
  </si>
  <si>
    <t>SPW4 Kohlenberg, A</t>
  </si>
  <si>
    <t>SPE5 Ostler, K</t>
  </si>
  <si>
    <t>SPE2 Roberts, L</t>
  </si>
  <si>
    <t>SPE1 Sides, L</t>
  </si>
  <si>
    <t>SPE3 DeLaCruz, N</t>
  </si>
  <si>
    <t>SPE5 Harrison, H</t>
  </si>
  <si>
    <t>SPW4 Panteleeff, H</t>
  </si>
  <si>
    <t>SPW7 Gray, K</t>
  </si>
  <si>
    <t>SPW5 Tolbert, K</t>
  </si>
  <si>
    <t>SPE7 Rivera Mendoza</t>
  </si>
  <si>
    <t>SPE2 Mena_Salgado, J</t>
  </si>
  <si>
    <t>SPE4 Rodriguez, N</t>
  </si>
  <si>
    <t>SPE7 Morfin, J</t>
  </si>
  <si>
    <t>SPW1 Cuevas, R</t>
  </si>
  <si>
    <t>SPE3 Hede, H</t>
  </si>
  <si>
    <t>SPW2 Neveu, E</t>
  </si>
  <si>
    <t>SPW5 Avery, A</t>
  </si>
  <si>
    <t>SPE7 Gilbert, K</t>
  </si>
  <si>
    <t>SPE8 Mejia, N</t>
  </si>
  <si>
    <t>SPW5 Cheves, E</t>
  </si>
  <si>
    <t>SPW3 Ruffin, K</t>
  </si>
  <si>
    <t>SPE6 Barber, C</t>
  </si>
  <si>
    <t>SPE3 Cervantes, A</t>
  </si>
  <si>
    <t>SPE8 Covarrubias, L</t>
  </si>
  <si>
    <t>SPE1 Tatge, D</t>
  </si>
  <si>
    <t>SPE6 Oseguera, S</t>
  </si>
  <si>
    <t>SPW5 Klayum, T</t>
  </si>
  <si>
    <t>SPW8 Larson, A</t>
  </si>
  <si>
    <t>SPE5 Fritz, E</t>
  </si>
  <si>
    <t>SPE6 VelazquezOrtiz, Y</t>
  </si>
  <si>
    <t>SPE2 Lopez, S</t>
  </si>
  <si>
    <t>SPW7 Munro, D</t>
  </si>
  <si>
    <t>SPE5 Oglesbee, K</t>
  </si>
  <si>
    <t>SPW2 Corlett, S</t>
  </si>
  <si>
    <t>SPW8 Bailey, K</t>
  </si>
  <si>
    <t>SPW1 Dowling, Brianna</t>
  </si>
  <si>
    <t>SPW5 Gunn, S</t>
  </si>
  <si>
    <t>SPE2 Duarte, D</t>
  </si>
  <si>
    <t>SPW4 Drury, April</t>
  </si>
  <si>
    <t>SPW3 Cardenas, S</t>
  </si>
  <si>
    <t>SPW5 Lanphear, R</t>
  </si>
  <si>
    <t>SPE8 Esqueda, Kayla</t>
  </si>
  <si>
    <t>SPE6 Goodrich, P</t>
  </si>
  <si>
    <t>SPE1 StanfordWoodiwiss, K</t>
  </si>
  <si>
    <t>SPW6 Blank, J</t>
  </si>
  <si>
    <t>SPW7 Zamora, L</t>
  </si>
  <si>
    <t>SPE4 Martinez, M</t>
  </si>
  <si>
    <t>SPW6 Wings, C</t>
  </si>
  <si>
    <t>SPW2 Chea, S</t>
  </si>
  <si>
    <t>SPW4 Knudsen, M</t>
  </si>
  <si>
    <t>SPE3 Rodriguez, M</t>
  </si>
  <si>
    <t>SPE8 Pedraza, S</t>
  </si>
  <si>
    <t>SPE1 Boardman, M</t>
  </si>
  <si>
    <t>SPE2 Minear, C</t>
  </si>
  <si>
    <t>SPE7 Schutz, B</t>
  </si>
  <si>
    <t>SPE5 Doonan, C</t>
  </si>
  <si>
    <t>SPW5 Pooley, A</t>
  </si>
  <si>
    <t>SPW4 Knudsen, J</t>
  </si>
  <si>
    <t>SPW6 Pat, M</t>
  </si>
  <si>
    <t>SPW3 Carlson, R</t>
  </si>
  <si>
    <t>SPW1 Cooper, Fawn</t>
  </si>
  <si>
    <t>SPE8 Gonzalez, J</t>
  </si>
  <si>
    <t>SPW5 McKee, L</t>
  </si>
  <si>
    <t>SPE3 Torres, E</t>
  </si>
  <si>
    <t>SPW3 Miller, T</t>
  </si>
  <si>
    <t>SPW7  Althauser, R</t>
  </si>
  <si>
    <t>SPW5 Van Laeken, L</t>
  </si>
  <si>
    <t>SPE4 Ruvalcaba, V</t>
  </si>
  <si>
    <t>SPE2 Torres, F</t>
  </si>
  <si>
    <t>SPW4 Westling, J</t>
  </si>
  <si>
    <t>SPE1 Bentley, K</t>
  </si>
  <si>
    <t>SPE6 Garza, B</t>
  </si>
  <si>
    <t>SPW7 Nunes, T</t>
  </si>
  <si>
    <t>SPE1 Anderson, D</t>
  </si>
  <si>
    <t>SPE3 Cadengo, L</t>
  </si>
  <si>
    <t>SPE6 Juarez, J</t>
  </si>
  <si>
    <t>SPW3 Ngonevolalath</t>
  </si>
  <si>
    <t>SPW7 Cavanagh, C</t>
  </si>
  <si>
    <t>SPW6 Bucins,H</t>
  </si>
  <si>
    <t>SPW6 Nahar, K</t>
  </si>
  <si>
    <t>SPE2 Ramirez, O</t>
  </si>
  <si>
    <t>SPE5 Hernandez Colme</t>
  </si>
  <si>
    <t>SPW6 Lainez, M</t>
  </si>
  <si>
    <t>SPW1 Wilson, J</t>
  </si>
  <si>
    <t>SPW8 Bell, A</t>
  </si>
  <si>
    <t>SPW6 Bland, Y</t>
  </si>
  <si>
    <t>SPW5 Pope, E</t>
  </si>
  <si>
    <t>SPE4 Montgomery, M</t>
  </si>
  <si>
    <t>SPE7 Hall, S</t>
  </si>
  <si>
    <t>SPW7 Jacobs, S</t>
  </si>
  <si>
    <t>SPE8 Throlson, M</t>
  </si>
  <si>
    <t>SPE4 Miles, G</t>
  </si>
  <si>
    <t>SPE3 Looney, E</t>
  </si>
  <si>
    <t>SPW3 Bainard, S</t>
  </si>
  <si>
    <t>SPW8 Tan, M</t>
  </si>
  <si>
    <t>SPE6 AlTarouti, A</t>
  </si>
  <si>
    <t>SPE8 Aranda, J</t>
  </si>
  <si>
    <t>SPW6 Armstrong, R</t>
  </si>
  <si>
    <t>SPE2 Bechard, A</t>
  </si>
  <si>
    <t>SPE2 Clark, E</t>
  </si>
  <si>
    <t>SPE7 Clayton, E</t>
  </si>
  <si>
    <t>SPW4 Cribbs, N</t>
  </si>
  <si>
    <t>SPW2 Daniels, A</t>
  </si>
  <si>
    <t>SPW8 Gallardo, Char</t>
  </si>
  <si>
    <t>SPE7 Erickson, A</t>
  </si>
  <si>
    <t>SPE4 Gomez, D</t>
  </si>
  <si>
    <t>SPE8 Hendrickson, A</t>
  </si>
  <si>
    <t>SPE6 Hernandez, E</t>
  </si>
  <si>
    <t>SPW1 Hildebrand, A</t>
  </si>
  <si>
    <t>SPW3 Kelly, M</t>
  </si>
  <si>
    <t>SPW5 Lamb, N</t>
  </si>
  <si>
    <t>SPE5 Laukala, T</t>
  </si>
  <si>
    <t>SPW3 Ourada, N</t>
  </si>
  <si>
    <t>SPE1 Paintner, K</t>
  </si>
  <si>
    <t>SPE4 Perez_Gomez, M</t>
  </si>
  <si>
    <t>SPE8 Perez, C</t>
  </si>
  <si>
    <t>SPW2 Santos, K</t>
  </si>
  <si>
    <t>SPE7 Sifuentes, M</t>
  </si>
  <si>
    <t>SPE7 Thomas, J</t>
  </si>
  <si>
    <t>SPW2 Valentine, Amy</t>
  </si>
  <si>
    <t>SPE7 Trujillo, M</t>
  </si>
  <si>
    <t>SPW2 Williams, M</t>
  </si>
  <si>
    <t>SPW6 Williamson, E</t>
  </si>
  <si>
    <t>SPW2 Young, T</t>
  </si>
  <si>
    <t>SPE2 Morales, S</t>
  </si>
  <si>
    <t>SPE3 Bueno, L</t>
  </si>
  <si>
    <t>SPE8 Ledbetter, A</t>
  </si>
  <si>
    <t>SPW1 Wlodarchak, E</t>
  </si>
  <si>
    <t>SPW1 Bryan, L</t>
  </si>
  <si>
    <t>SPW4 Rose, C</t>
  </si>
  <si>
    <t>SPW8 Willson, K</t>
  </si>
  <si>
    <t>SPW8 Lim, R</t>
  </si>
  <si>
    <t>Rotation</t>
  </si>
  <si>
    <t>Default</t>
  </si>
  <si>
    <t>Provider 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</si>
</sst>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 tint="0.34998626667073579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/>
    </xf>
    <xf numFmtId="0" fontId="0" fillId="0" borderId="0" xfId="0" applyAlignment="1"/>
    <xf numFmtId="0" fontId="1" fillId="9" borderId="0" xfId="0" applyFont="1" applyFill="1" applyAlignment="1"/>
    <xf numFmtId="0" fontId="0" fillId="8" borderId="0" xfId="0" applyFill="1" applyAlignment="1"/>
    <xf numFmtId="0" fontId="3" fillId="8" borderId="0" xfId="0" applyFont="1" applyFill="1" applyAlignment="1"/>
    <xf numFmtId="0" fontId="2" fillId="3" borderId="0" xfId="0" applyFont="1" applyFill="1" applyAlignment="1"/>
    <xf numFmtId="14" fontId="2" fillId="0" borderId="0" xfId="0" applyNumberFormat="1" applyFont="1" applyAlignment="1"/>
    <xf numFmtId="1" fontId="0" fillId="0" borderId="0" xfId="0" applyNumberFormat="1" applyAlignment="1"/>
    <xf numFmtId="0" fontId="2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0" fillId="0" borderId="1" xfId="0" applyBorder="1" applyAlignment="1"/>
    <xf numFmtId="0" fontId="3" fillId="11" borderId="0" xfId="0" applyFont="1" applyFill="1" applyAlignment="1">
      <alignment horizontal="center"/>
    </xf>
    <xf numFmtId="0" fontId="4" fillId="0" borderId="0" xfId="0" applyFont="1"/>
    <xf numFmtId="0" fontId="7" fillId="3" borderId="0" xfId="0" applyFont="1" applyFill="1" applyAlignment="1"/>
    <xf numFmtId="0" fontId="7" fillId="3" borderId="0" xfId="0" applyFont="1" applyFill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theme="3" tint="0.899960325937681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0303F-79BF-4A7B-B711-537864C954F6}">
  <sheetPr codeName="Sheet1"/>
  <dimension ref="A1:Y157"/>
  <sheetViews>
    <sheetView tabSelected="1" workbookViewId="0">
      <pane xSplit="11" ySplit="2" topLeftCell="L3" activePane="bottomRight" state="frozen"/>
      <selection pane="topRight" activeCell="N1" sqref="N1"/>
      <selection pane="bottomLeft" activeCell="A3" sqref="A3"/>
      <selection pane="bottomRight" activeCell="M13" sqref="M13"/>
    </sheetView>
  </sheetViews>
  <sheetFormatPr defaultRowHeight="15" x14ac:dyDescent="0.25"/>
  <cols>
    <col min="1" max="1" width="13.42578125" style="3" customWidth="1"/>
    <col min="2" max="2" width="14.28515625" style="3" customWidth="1"/>
    <col min="3" max="3" width="8.28515625" style="10" customWidth="1"/>
    <col min="4" max="4" width="25.28515625" style="10" bestFit="1" customWidth="1"/>
    <col min="5" max="5" width="24.5703125" style="10" bestFit="1" customWidth="1"/>
    <col min="6" max="6" width="16.140625" style="10" bestFit="1" customWidth="1"/>
    <col min="7" max="7" width="12" style="10" customWidth="1"/>
    <col min="8" max="8" width="12.5703125" style="3" customWidth="1"/>
    <col min="9" max="9" width="16.85546875" style="18" customWidth="1"/>
    <col min="10" max="10" width="12.85546875" style="3" customWidth="1"/>
    <col min="11" max="11" width="13.85546875" style="21" customWidth="1"/>
    <col min="12" max="12" width="9.140625" style="10"/>
    <col min="13" max="13" width="12.7109375" style="10" bestFit="1" customWidth="1"/>
    <col min="14" max="14" width="21" style="10" bestFit="1" customWidth="1"/>
    <col min="15" max="15" width="13.5703125" style="10" bestFit="1" customWidth="1"/>
    <col min="16" max="16" width="8.7109375" style="10" hidden="1" customWidth="1"/>
    <col min="17" max="17" width="7.140625" style="10" hidden="1" customWidth="1"/>
    <col min="18" max="18" width="3.5703125" style="10" customWidth="1"/>
    <col min="19" max="19" width="8.42578125" style="1" customWidth="1"/>
    <col min="20" max="20" width="9.140625" style="10" hidden="1" customWidth="1"/>
    <col min="21" max="21" width="8.140625" style="10" hidden="1" customWidth="1"/>
    <col min="22" max="22" width="5.7109375" style="10" hidden="1" customWidth="1"/>
    <col min="23" max="16384" width="9.140625" style="10"/>
  </cols>
  <sheetData>
    <row r="1" spans="1:24" x14ac:dyDescent="0.25">
      <c r="A1" s="8" t="s">
        <v>622</v>
      </c>
      <c r="B1" s="8"/>
      <c r="C1" s="8"/>
      <c r="D1" s="8"/>
      <c r="E1" s="8"/>
      <c r="F1" s="8"/>
      <c r="G1" s="8"/>
      <c r="H1" s="8"/>
      <c r="I1" s="2" t="s">
        <v>791</v>
      </c>
      <c r="J1" s="4" t="s">
        <v>623</v>
      </c>
      <c r="K1" s="19" t="s">
        <v>624</v>
      </c>
      <c r="M1" s="11" t="s">
        <v>625</v>
      </c>
      <c r="N1" s="11" t="s">
        <v>629</v>
      </c>
      <c r="O1" s="11" t="s">
        <v>630</v>
      </c>
      <c r="P1" s="10" t="s">
        <v>631</v>
      </c>
      <c r="Q1" s="12" t="s">
        <v>627</v>
      </c>
      <c r="S1" s="22" t="s">
        <v>628</v>
      </c>
      <c r="T1" s="13" t="s">
        <v>626</v>
      </c>
      <c r="U1" s="10" t="s">
        <v>632</v>
      </c>
    </row>
    <row r="2" spans="1:24" x14ac:dyDescent="0.25">
      <c r="A2" s="6" t="s">
        <v>0</v>
      </c>
      <c r="B2" s="25" t="s">
        <v>1</v>
      </c>
      <c r="C2" s="14" t="s">
        <v>620</v>
      </c>
      <c r="D2" s="24" t="s">
        <v>633</v>
      </c>
      <c r="E2" s="24" t="s">
        <v>18</v>
      </c>
      <c r="F2" s="24" t="s">
        <v>168</v>
      </c>
      <c r="G2" s="24" t="s">
        <v>308</v>
      </c>
      <c r="H2" s="25" t="s">
        <v>621</v>
      </c>
      <c r="I2" s="17" t="s">
        <v>790</v>
      </c>
      <c r="J2" s="5" t="s">
        <v>464</v>
      </c>
      <c r="K2" s="20" t="s">
        <v>789</v>
      </c>
      <c r="M2" s="15">
        <f ca="1">TODAY()</f>
        <v>46300</v>
      </c>
      <c r="N2" s="7" t="str" cm="1">
        <f t="array" aca="1" ref="N2" ca="1">INDIRECT(CONCATENATE("S",MOD(P2,Q2)+2))</f>
        <v>SPW2</v>
      </c>
      <c r="O2" s="9">
        <f ca="1">MOD(P2,Q3)+1</f>
        <v>1</v>
      </c>
      <c r="P2" s="16" cm="1">
        <f t="array" aca="1" ref="P2" ca="1">getWorkdayOfYear(M2)+VLOOKUP(YEAR(M2),U:V,2,FALSE)</f>
        <v>192</v>
      </c>
      <c r="Q2" s="10">
        <f>COUNTA(S:S)-1</f>
        <v>16</v>
      </c>
      <c r="S2" s="1" t="s">
        <v>6</v>
      </c>
      <c r="T2" s="10">
        <f>MIN(J:J)</f>
        <v>0</v>
      </c>
      <c r="U2" s="10">
        <v>2026</v>
      </c>
      <c r="V2" s="10">
        <v>0</v>
      </c>
    </row>
    <row r="3" spans="1:24" x14ac:dyDescent="0.25">
      <c r="A3" s="3" t="s">
        <v>560</v>
      </c>
      <c r="B3" s="3">
        <v>75994</v>
      </c>
      <c r="C3" s="10" t="s">
        <v>9</v>
      </c>
      <c r="D3" s="10" t="s">
        <v>730</v>
      </c>
      <c r="E3" s="10" t="s">
        <v>111</v>
      </c>
      <c r="F3" s="10" t="s">
        <v>260</v>
      </c>
      <c r="G3" s="10" t="s">
        <v>404</v>
      </c>
      <c r="H3" s="3">
        <v>1</v>
      </c>
      <c r="I3" s="18">
        <v>0</v>
      </c>
      <c r="J3" s="3">
        <v>0</v>
      </c>
      <c r="K3" s="18">
        <v>0</v>
      </c>
      <c r="Q3" s="10">
        <f>COUNTIFS(T:T,"&gt;0")</f>
        <v>2</v>
      </c>
      <c r="S3" s="1" t="s">
        <v>4</v>
      </c>
      <c r="T3" s="10">
        <f t="shared" ref="T3:T17" si="0">IF(LEN(T2)=0,"",IF(_xlfn.MINIFS(J:J,J:J,"&gt;"&amp;T2)&lt;=T2,"",_xlfn.MINIFS(J:J,J:J,"&gt;"&amp;T2)))</f>
        <v>1</v>
      </c>
      <c r="U3" s="10">
        <v>2027</v>
      </c>
      <c r="V3" s="10">
        <v>251</v>
      </c>
      <c r="X3" s="1"/>
    </row>
    <row r="4" spans="1:24" x14ac:dyDescent="0.25">
      <c r="A4" s="3" t="s">
        <v>479</v>
      </c>
      <c r="B4" s="3">
        <v>75937</v>
      </c>
      <c r="C4" s="10" t="s">
        <v>9</v>
      </c>
      <c r="D4" s="10" t="s">
        <v>652</v>
      </c>
      <c r="E4" s="10" t="s">
        <v>33</v>
      </c>
      <c r="F4" s="10" t="s">
        <v>183</v>
      </c>
      <c r="G4" s="10" t="s">
        <v>323</v>
      </c>
      <c r="H4" s="3">
        <v>1</v>
      </c>
      <c r="I4" s="18">
        <v>0</v>
      </c>
      <c r="J4" s="3">
        <v>0</v>
      </c>
      <c r="K4" s="18">
        <v>0</v>
      </c>
      <c r="S4" s="1" t="s">
        <v>13</v>
      </c>
      <c r="T4" s="10">
        <f t="shared" si="0"/>
        <v>2</v>
      </c>
      <c r="U4" s="10">
        <v>2028</v>
      </c>
      <c r="V4" s="10">
        <v>502</v>
      </c>
      <c r="X4" s="1"/>
    </row>
    <row r="5" spans="1:24" x14ac:dyDescent="0.25">
      <c r="A5" s="3" t="s">
        <v>516</v>
      </c>
      <c r="B5" s="3">
        <v>75830</v>
      </c>
      <c r="C5" s="10" t="s">
        <v>9</v>
      </c>
      <c r="D5" s="10" t="s">
        <v>651</v>
      </c>
      <c r="E5" s="10" t="s">
        <v>70</v>
      </c>
      <c r="F5" s="10" t="s">
        <v>217</v>
      </c>
      <c r="G5" s="10" t="s">
        <v>360</v>
      </c>
      <c r="H5" s="3">
        <v>1</v>
      </c>
      <c r="I5" s="18">
        <v>0</v>
      </c>
      <c r="J5" s="3">
        <v>0</v>
      </c>
      <c r="K5" s="18">
        <v>0</v>
      </c>
      <c r="S5" s="1" t="s">
        <v>12</v>
      </c>
      <c r="T5" s="10" t="str">
        <f t="shared" si="0"/>
        <v/>
      </c>
      <c r="U5" s="10">
        <v>2029</v>
      </c>
      <c r="V5" s="10">
        <v>754</v>
      </c>
      <c r="X5" s="1"/>
    </row>
    <row r="6" spans="1:24" x14ac:dyDescent="0.25">
      <c r="A6" s="3" t="s">
        <v>475</v>
      </c>
      <c r="B6" s="3">
        <v>75963</v>
      </c>
      <c r="C6" s="10" t="s">
        <v>9</v>
      </c>
      <c r="D6" s="10" t="s">
        <v>700</v>
      </c>
      <c r="E6" s="10" t="s">
        <v>29</v>
      </c>
      <c r="F6" s="10" t="s">
        <v>179</v>
      </c>
      <c r="G6" s="10" t="s">
        <v>319</v>
      </c>
      <c r="H6" s="3">
        <v>1</v>
      </c>
      <c r="I6" s="18">
        <v>0</v>
      </c>
      <c r="J6" s="3">
        <v>0</v>
      </c>
      <c r="K6" s="18">
        <v>0</v>
      </c>
      <c r="S6" s="1" t="s">
        <v>3</v>
      </c>
      <c r="T6" s="10" t="str">
        <f t="shared" si="0"/>
        <v/>
      </c>
      <c r="U6" s="10">
        <v>2030</v>
      </c>
      <c r="V6" s="10">
        <v>1005</v>
      </c>
      <c r="X6" s="1"/>
    </row>
    <row r="7" spans="1:24" x14ac:dyDescent="0.25">
      <c r="A7" s="3" t="s">
        <v>467</v>
      </c>
      <c r="B7" s="3">
        <v>75972</v>
      </c>
      <c r="C7" s="10" t="s">
        <v>4</v>
      </c>
      <c r="D7" s="10" t="s">
        <v>710</v>
      </c>
      <c r="E7" s="10" t="s">
        <v>21</v>
      </c>
      <c r="F7" s="10" t="s">
        <v>171</v>
      </c>
      <c r="G7" s="10" t="s">
        <v>311</v>
      </c>
      <c r="H7" s="3">
        <v>1</v>
      </c>
      <c r="I7" s="18">
        <v>0</v>
      </c>
      <c r="J7" s="3">
        <v>0</v>
      </c>
      <c r="K7" s="18">
        <v>0</v>
      </c>
      <c r="S7" s="1" t="s">
        <v>2</v>
      </c>
      <c r="T7" s="10" t="str">
        <f t="shared" si="0"/>
        <v/>
      </c>
      <c r="U7" s="10">
        <v>2031</v>
      </c>
      <c r="V7" s="10">
        <v>1256</v>
      </c>
      <c r="X7" s="1"/>
    </row>
    <row r="8" spans="1:24" x14ac:dyDescent="0.25">
      <c r="A8" s="3" t="s">
        <v>527</v>
      </c>
      <c r="B8" s="3">
        <v>75855</v>
      </c>
      <c r="C8" s="10" t="s">
        <v>4</v>
      </c>
      <c r="D8" s="10" t="s">
        <v>694</v>
      </c>
      <c r="E8" s="10" t="s">
        <v>80</v>
      </c>
      <c r="F8" s="10" t="s">
        <v>228</v>
      </c>
      <c r="G8" s="10" t="s">
        <v>371</v>
      </c>
      <c r="H8" s="3">
        <v>1</v>
      </c>
      <c r="I8" s="18">
        <v>0</v>
      </c>
      <c r="J8" s="3">
        <v>0</v>
      </c>
      <c r="K8" s="18">
        <v>0</v>
      </c>
      <c r="S8" s="1" t="s">
        <v>8</v>
      </c>
      <c r="T8" s="10" t="str">
        <f t="shared" si="0"/>
        <v/>
      </c>
      <c r="U8" s="10">
        <v>2032</v>
      </c>
      <c r="V8" s="10">
        <v>1507</v>
      </c>
      <c r="X8" s="1"/>
    </row>
    <row r="9" spans="1:24" x14ac:dyDescent="0.25">
      <c r="A9" s="3" t="s">
        <v>573</v>
      </c>
      <c r="B9" s="3">
        <v>75961</v>
      </c>
      <c r="C9" s="10" t="s">
        <v>4</v>
      </c>
      <c r="D9" s="10" t="s">
        <v>756</v>
      </c>
      <c r="E9" s="10" t="s">
        <v>122</v>
      </c>
      <c r="F9" s="10" t="s">
        <v>245</v>
      </c>
      <c r="G9" s="10" t="s">
        <v>417</v>
      </c>
      <c r="H9" s="3">
        <v>1</v>
      </c>
      <c r="I9" s="18">
        <v>0</v>
      </c>
      <c r="J9" s="3">
        <v>0</v>
      </c>
      <c r="K9" s="18">
        <v>0</v>
      </c>
      <c r="S9" s="1" t="s">
        <v>14</v>
      </c>
      <c r="T9" s="10" t="str">
        <f t="shared" si="0"/>
        <v/>
      </c>
      <c r="U9" s="10">
        <v>2033</v>
      </c>
      <c r="V9" s="10">
        <v>1759</v>
      </c>
      <c r="X9" s="1"/>
    </row>
    <row r="10" spans="1:24" x14ac:dyDescent="0.25">
      <c r="A10" s="3" t="s">
        <v>549</v>
      </c>
      <c r="B10" s="3">
        <v>75978</v>
      </c>
      <c r="C10" s="10" t="s">
        <v>4</v>
      </c>
      <c r="D10" s="10" t="s">
        <v>737</v>
      </c>
      <c r="E10" s="10" t="s">
        <v>100</v>
      </c>
      <c r="F10" s="10" t="s">
        <v>249</v>
      </c>
      <c r="G10" s="10" t="s">
        <v>393</v>
      </c>
      <c r="H10" s="3">
        <v>1</v>
      </c>
      <c r="I10" s="18">
        <v>0</v>
      </c>
      <c r="J10" s="3">
        <v>1</v>
      </c>
      <c r="K10" s="18">
        <v>0</v>
      </c>
      <c r="S10" s="1" t="s">
        <v>5</v>
      </c>
      <c r="T10" s="10" t="str">
        <f t="shared" si="0"/>
        <v/>
      </c>
      <c r="U10" s="10">
        <v>2034</v>
      </c>
      <c r="V10" s="10">
        <v>2011</v>
      </c>
      <c r="X10" s="1"/>
    </row>
    <row r="11" spans="1:24" x14ac:dyDescent="0.25">
      <c r="A11" s="3" t="s">
        <v>559</v>
      </c>
      <c r="B11" s="3">
        <v>75873</v>
      </c>
      <c r="C11" s="10" t="s">
        <v>4</v>
      </c>
      <c r="D11" s="10" t="s">
        <v>687</v>
      </c>
      <c r="E11" s="10" t="s">
        <v>110</v>
      </c>
      <c r="F11" s="10" t="s">
        <v>259</v>
      </c>
      <c r="G11" s="10" t="s">
        <v>403</v>
      </c>
      <c r="H11" s="3">
        <v>1</v>
      </c>
      <c r="I11" s="18">
        <v>0</v>
      </c>
      <c r="J11" s="3">
        <v>0</v>
      </c>
      <c r="K11" s="18">
        <v>0</v>
      </c>
      <c r="S11" s="1" t="s">
        <v>10</v>
      </c>
      <c r="T11" s="10" t="str">
        <f t="shared" si="0"/>
        <v/>
      </c>
      <c r="U11" s="10">
        <v>2035</v>
      </c>
      <c r="V11" s="10">
        <v>2262</v>
      </c>
      <c r="X11" s="1"/>
    </row>
    <row r="12" spans="1:24" x14ac:dyDescent="0.25">
      <c r="A12" s="3" t="s">
        <v>520</v>
      </c>
      <c r="B12" s="3">
        <v>75847</v>
      </c>
      <c r="C12" s="10" t="s">
        <v>4</v>
      </c>
      <c r="D12" s="10" t="s">
        <v>781</v>
      </c>
      <c r="E12" s="10" t="s">
        <v>74</v>
      </c>
      <c r="F12" s="10" t="s">
        <v>221</v>
      </c>
      <c r="G12" s="10" t="s">
        <v>364</v>
      </c>
      <c r="H12" s="3">
        <v>1</v>
      </c>
      <c r="I12" s="18">
        <v>0</v>
      </c>
      <c r="J12" s="3">
        <v>0</v>
      </c>
      <c r="K12" s="18">
        <v>0</v>
      </c>
      <c r="S12" s="1" t="s">
        <v>11</v>
      </c>
      <c r="T12" s="10" t="str">
        <f t="shared" si="0"/>
        <v/>
      </c>
      <c r="U12" s="10">
        <v>2036</v>
      </c>
      <c r="V12" s="10">
        <v>2513</v>
      </c>
      <c r="X12" s="1"/>
    </row>
    <row r="13" spans="1:24" x14ac:dyDescent="0.25">
      <c r="A13" s="3" t="s">
        <v>605</v>
      </c>
      <c r="B13" s="3">
        <v>75970</v>
      </c>
      <c r="C13" s="10" t="s">
        <v>12</v>
      </c>
      <c r="D13" s="10" t="s">
        <v>650</v>
      </c>
      <c r="E13" s="10" t="s">
        <v>154</v>
      </c>
      <c r="F13" s="10" t="s">
        <v>296</v>
      </c>
      <c r="G13" s="10" t="s">
        <v>449</v>
      </c>
      <c r="H13" s="3">
        <v>1</v>
      </c>
      <c r="I13" s="18">
        <v>0</v>
      </c>
      <c r="J13" s="3">
        <v>1</v>
      </c>
      <c r="K13" s="18">
        <v>0</v>
      </c>
      <c r="S13" s="1" t="s">
        <v>15</v>
      </c>
      <c r="T13" s="10" t="str">
        <f t="shared" si="0"/>
        <v/>
      </c>
      <c r="U13" s="10">
        <v>2037</v>
      </c>
      <c r="V13" s="10">
        <v>2765</v>
      </c>
      <c r="X13" s="1"/>
    </row>
    <row r="14" spans="1:24" x14ac:dyDescent="0.25">
      <c r="A14" s="3" t="s">
        <v>591</v>
      </c>
      <c r="B14" s="3">
        <v>75869</v>
      </c>
      <c r="C14" s="10" t="s">
        <v>12</v>
      </c>
      <c r="D14" s="10" t="s">
        <v>671</v>
      </c>
      <c r="E14" s="10" t="s">
        <v>140</v>
      </c>
      <c r="F14" s="10" t="s">
        <v>285</v>
      </c>
      <c r="G14" s="10" t="s">
        <v>435</v>
      </c>
      <c r="H14" s="3">
        <v>1</v>
      </c>
      <c r="I14" s="18">
        <v>0</v>
      </c>
      <c r="J14" s="3">
        <v>0</v>
      </c>
      <c r="K14" s="18">
        <v>0</v>
      </c>
      <c r="S14" s="1" t="s">
        <v>7</v>
      </c>
      <c r="T14" s="10" t="str">
        <f t="shared" si="0"/>
        <v/>
      </c>
      <c r="U14" s="10">
        <v>2038</v>
      </c>
      <c r="V14" s="10">
        <v>3016</v>
      </c>
      <c r="X14" s="1"/>
    </row>
    <row r="15" spans="1:24" x14ac:dyDescent="0.25">
      <c r="A15" s="3" t="s">
        <v>557</v>
      </c>
      <c r="B15" s="3">
        <v>75880</v>
      </c>
      <c r="C15" s="10" t="s">
        <v>12</v>
      </c>
      <c r="D15" s="10" t="s">
        <v>782</v>
      </c>
      <c r="E15" s="10" t="s">
        <v>108</v>
      </c>
      <c r="F15" s="10" t="s">
        <v>257</v>
      </c>
      <c r="G15" s="10" t="s">
        <v>401</v>
      </c>
      <c r="H15" s="3">
        <v>1</v>
      </c>
      <c r="I15" s="18">
        <v>0</v>
      </c>
      <c r="J15" s="3">
        <v>0</v>
      </c>
      <c r="K15" s="18">
        <v>0</v>
      </c>
      <c r="S15" s="1" t="s">
        <v>17</v>
      </c>
      <c r="T15" s="10" t="str">
        <f t="shared" si="0"/>
        <v/>
      </c>
      <c r="U15" s="10">
        <v>2039</v>
      </c>
      <c r="V15" s="10">
        <v>3267</v>
      </c>
      <c r="X15" s="1"/>
    </row>
    <row r="16" spans="1:24" x14ac:dyDescent="0.25">
      <c r="A16" s="3" t="s">
        <v>465</v>
      </c>
      <c r="B16" s="3">
        <v>75985</v>
      </c>
      <c r="C16" s="10" t="s">
        <v>2</v>
      </c>
      <c r="D16" s="10" t="s">
        <v>703</v>
      </c>
      <c r="E16" s="10" t="s">
        <v>19</v>
      </c>
      <c r="F16" s="10" t="s">
        <v>169</v>
      </c>
      <c r="G16" s="10" t="s">
        <v>309</v>
      </c>
      <c r="H16" s="3">
        <v>1</v>
      </c>
      <c r="I16" s="18">
        <v>0</v>
      </c>
      <c r="J16" s="3">
        <v>1</v>
      </c>
      <c r="K16" s="18">
        <v>0</v>
      </c>
      <c r="S16" s="1" t="s">
        <v>16</v>
      </c>
      <c r="T16" s="10" t="str">
        <f t="shared" si="0"/>
        <v/>
      </c>
      <c r="U16" s="10">
        <v>2040</v>
      </c>
      <c r="V16" s="10">
        <v>3519</v>
      </c>
      <c r="X16" s="1"/>
    </row>
    <row r="17" spans="1:24" x14ac:dyDescent="0.25">
      <c r="A17" s="3" t="s">
        <v>508</v>
      </c>
      <c r="B17" s="3">
        <v>75991</v>
      </c>
      <c r="C17" s="10" t="s">
        <v>14</v>
      </c>
      <c r="D17" s="10" t="s">
        <v>645</v>
      </c>
      <c r="E17" s="10" t="s">
        <v>63</v>
      </c>
      <c r="F17" s="10" t="s">
        <v>209</v>
      </c>
      <c r="G17" s="10" t="s">
        <v>352</v>
      </c>
      <c r="H17" s="3">
        <v>1</v>
      </c>
      <c r="I17" s="18">
        <v>0</v>
      </c>
      <c r="J17" s="3">
        <v>0</v>
      </c>
      <c r="K17" s="18">
        <v>0</v>
      </c>
      <c r="S17" s="1" t="s">
        <v>9</v>
      </c>
      <c r="T17" s="10" t="str">
        <f t="shared" si="0"/>
        <v/>
      </c>
      <c r="U17" s="10">
        <v>2041</v>
      </c>
      <c r="V17" s="10">
        <v>3770</v>
      </c>
      <c r="X17" s="1"/>
    </row>
    <row r="18" spans="1:24" x14ac:dyDescent="0.25">
      <c r="A18" s="3" t="s">
        <v>502</v>
      </c>
      <c r="B18" s="3">
        <v>74213</v>
      </c>
      <c r="C18" s="10" t="s">
        <v>14</v>
      </c>
      <c r="D18" s="10" t="s">
        <v>738</v>
      </c>
      <c r="E18" s="10" t="s">
        <v>57</v>
      </c>
      <c r="F18" s="10" t="s">
        <v>204</v>
      </c>
      <c r="G18" s="10" t="s">
        <v>346</v>
      </c>
      <c r="H18" s="3">
        <v>1</v>
      </c>
      <c r="I18" s="18">
        <v>0</v>
      </c>
      <c r="J18" s="3">
        <v>0</v>
      </c>
      <c r="K18" s="18">
        <v>0</v>
      </c>
      <c r="U18" s="10">
        <v>2042</v>
      </c>
      <c r="V18" s="10">
        <v>4021</v>
      </c>
    </row>
    <row r="19" spans="1:24" x14ac:dyDescent="0.25">
      <c r="A19" s="3" t="s">
        <v>545</v>
      </c>
      <c r="B19" s="3">
        <v>75990</v>
      </c>
      <c r="C19" s="10" t="s">
        <v>14</v>
      </c>
      <c r="D19" s="10" t="s">
        <v>641</v>
      </c>
      <c r="E19" s="10" t="s">
        <v>96</v>
      </c>
      <c r="F19" s="10" t="s">
        <v>246</v>
      </c>
      <c r="G19" s="10" t="s">
        <v>389</v>
      </c>
      <c r="H19" s="3">
        <v>1</v>
      </c>
      <c r="I19" s="18">
        <v>0</v>
      </c>
      <c r="J19" s="3">
        <v>0</v>
      </c>
      <c r="K19" s="18">
        <v>0</v>
      </c>
      <c r="U19" s="10">
        <v>2043</v>
      </c>
      <c r="V19" s="10">
        <v>4272</v>
      </c>
    </row>
    <row r="20" spans="1:24" x14ac:dyDescent="0.25">
      <c r="A20" s="3" t="s">
        <v>568</v>
      </c>
      <c r="B20" s="3">
        <v>75909</v>
      </c>
      <c r="C20" s="10" t="s">
        <v>17</v>
      </c>
      <c r="D20" s="10" t="s">
        <v>752</v>
      </c>
      <c r="E20" s="10" t="s">
        <v>119</v>
      </c>
      <c r="F20" s="10" t="s">
        <v>266</v>
      </c>
      <c r="G20" s="10" t="s">
        <v>412</v>
      </c>
      <c r="H20" s="3">
        <v>1</v>
      </c>
      <c r="I20" s="18">
        <v>0</v>
      </c>
      <c r="J20" s="3">
        <v>0</v>
      </c>
      <c r="K20" s="18">
        <v>0</v>
      </c>
      <c r="U20" s="10">
        <v>2044</v>
      </c>
      <c r="V20" s="10">
        <v>4523</v>
      </c>
    </row>
    <row r="21" spans="1:24" x14ac:dyDescent="0.25">
      <c r="A21" s="3" t="s">
        <v>596</v>
      </c>
      <c r="B21" s="3">
        <v>75905</v>
      </c>
      <c r="C21" s="10" t="s">
        <v>17</v>
      </c>
      <c r="D21" s="10" t="s">
        <v>686</v>
      </c>
      <c r="E21" s="10" t="s">
        <v>145</v>
      </c>
      <c r="F21" s="10" t="s">
        <v>289</v>
      </c>
      <c r="G21" s="10" t="s">
        <v>440</v>
      </c>
      <c r="H21" s="3">
        <v>1</v>
      </c>
      <c r="I21" s="18">
        <v>0</v>
      </c>
      <c r="J21" s="3">
        <v>2</v>
      </c>
      <c r="K21" s="18">
        <v>0</v>
      </c>
      <c r="U21" s="10">
        <v>2045</v>
      </c>
      <c r="V21" s="10">
        <v>4775</v>
      </c>
    </row>
    <row r="22" spans="1:24" x14ac:dyDescent="0.25">
      <c r="A22" s="3" t="s">
        <v>505</v>
      </c>
      <c r="B22" s="3">
        <v>75996</v>
      </c>
      <c r="C22" s="10" t="s">
        <v>10</v>
      </c>
      <c r="D22" s="10" t="s">
        <v>761</v>
      </c>
      <c r="E22" s="10" t="s">
        <v>60</v>
      </c>
      <c r="F22" s="10" t="s">
        <v>206</v>
      </c>
      <c r="G22" s="10" t="s">
        <v>349</v>
      </c>
      <c r="H22" s="3">
        <v>1</v>
      </c>
      <c r="I22" s="18">
        <v>0</v>
      </c>
      <c r="J22" s="3">
        <v>0</v>
      </c>
      <c r="K22" s="18">
        <v>0</v>
      </c>
      <c r="U22" s="10">
        <v>2046</v>
      </c>
      <c r="V22" s="10">
        <v>5026</v>
      </c>
    </row>
    <row r="23" spans="1:24" x14ac:dyDescent="0.25">
      <c r="A23" s="3" t="s">
        <v>546</v>
      </c>
      <c r="B23" s="3">
        <v>75920</v>
      </c>
      <c r="C23" s="10" t="s">
        <v>10</v>
      </c>
      <c r="D23" s="10" t="s">
        <v>666</v>
      </c>
      <c r="E23" s="10" t="s">
        <v>97</v>
      </c>
      <c r="F23" s="10" t="s">
        <v>228</v>
      </c>
      <c r="G23" s="10" t="s">
        <v>390</v>
      </c>
      <c r="H23" s="3">
        <v>1</v>
      </c>
      <c r="I23" s="18">
        <v>0</v>
      </c>
      <c r="J23" s="3">
        <v>2</v>
      </c>
      <c r="K23" s="18">
        <v>0</v>
      </c>
      <c r="U23" s="10">
        <v>2047</v>
      </c>
      <c r="V23" s="10">
        <v>5277</v>
      </c>
    </row>
    <row r="24" spans="1:24" x14ac:dyDescent="0.25">
      <c r="A24" s="3" t="s">
        <v>492</v>
      </c>
      <c r="B24" s="3">
        <v>75900</v>
      </c>
      <c r="C24" s="10" t="s">
        <v>10</v>
      </c>
      <c r="D24" s="10" t="s">
        <v>674</v>
      </c>
      <c r="E24" s="10" t="s">
        <v>47</v>
      </c>
      <c r="F24" s="10" t="s">
        <v>196</v>
      </c>
      <c r="G24" s="10" t="s">
        <v>336</v>
      </c>
      <c r="H24" s="3">
        <v>1</v>
      </c>
      <c r="I24" s="18">
        <v>0</v>
      </c>
      <c r="J24" s="3">
        <v>0</v>
      </c>
      <c r="K24" s="18">
        <v>0</v>
      </c>
      <c r="U24" s="10">
        <v>2048</v>
      </c>
      <c r="V24" s="10">
        <v>5528</v>
      </c>
    </row>
    <row r="25" spans="1:24" x14ac:dyDescent="0.25">
      <c r="A25" s="3" t="s">
        <v>584</v>
      </c>
      <c r="B25" s="3">
        <v>75908</v>
      </c>
      <c r="C25" s="10" t="s">
        <v>15</v>
      </c>
      <c r="D25" s="10" t="s">
        <v>783</v>
      </c>
      <c r="E25" s="10" t="s">
        <v>134</v>
      </c>
      <c r="F25" s="10" t="s">
        <v>212</v>
      </c>
      <c r="G25" s="10" t="s">
        <v>428</v>
      </c>
      <c r="H25" s="3">
        <v>1</v>
      </c>
      <c r="I25" s="18">
        <v>0</v>
      </c>
      <c r="J25" s="3">
        <v>0</v>
      </c>
      <c r="K25" s="18">
        <v>0</v>
      </c>
      <c r="U25" s="10">
        <v>2049</v>
      </c>
      <c r="V25" s="10">
        <v>5780</v>
      </c>
    </row>
    <row r="26" spans="1:24" x14ac:dyDescent="0.25">
      <c r="A26" s="3" t="s">
        <v>498</v>
      </c>
      <c r="B26" s="3">
        <v>74207</v>
      </c>
      <c r="C26" s="10" t="s">
        <v>15</v>
      </c>
      <c r="D26" s="10" t="s">
        <v>753</v>
      </c>
      <c r="E26" s="10" t="s">
        <v>53</v>
      </c>
      <c r="F26" s="10" t="s">
        <v>183</v>
      </c>
      <c r="G26" s="10" t="s">
        <v>342</v>
      </c>
      <c r="H26" s="3">
        <v>1</v>
      </c>
      <c r="I26" s="18">
        <v>0</v>
      </c>
      <c r="J26" s="3">
        <v>0</v>
      </c>
      <c r="K26" s="18">
        <v>0</v>
      </c>
      <c r="U26" s="10">
        <v>2050</v>
      </c>
      <c r="V26" s="10">
        <v>6031</v>
      </c>
    </row>
    <row r="27" spans="1:24" x14ac:dyDescent="0.25">
      <c r="A27" s="3" t="s">
        <v>576</v>
      </c>
      <c r="B27" s="3">
        <v>75876</v>
      </c>
      <c r="C27" s="10" t="s">
        <v>15</v>
      </c>
      <c r="D27" s="10" t="s">
        <v>698</v>
      </c>
      <c r="E27" s="10" t="s">
        <v>125</v>
      </c>
      <c r="F27" s="10" t="s">
        <v>273</v>
      </c>
      <c r="G27" s="10" t="s">
        <v>420</v>
      </c>
      <c r="H27" s="3">
        <v>1</v>
      </c>
      <c r="I27" s="18">
        <v>0</v>
      </c>
      <c r="J27" s="3">
        <v>0</v>
      </c>
      <c r="K27" s="18">
        <v>0</v>
      </c>
      <c r="U27" s="10">
        <v>2051</v>
      </c>
      <c r="V27" s="10">
        <v>6283</v>
      </c>
    </row>
    <row r="28" spans="1:24" x14ac:dyDescent="0.25">
      <c r="A28" s="3" t="s">
        <v>547</v>
      </c>
      <c r="B28" s="3">
        <v>75896</v>
      </c>
      <c r="C28" s="10" t="s">
        <v>16</v>
      </c>
      <c r="D28" s="10" t="s">
        <v>692</v>
      </c>
      <c r="E28" s="10" t="s">
        <v>98</v>
      </c>
      <c r="F28" s="10" t="s">
        <v>247</v>
      </c>
      <c r="G28" s="10" t="s">
        <v>391</v>
      </c>
      <c r="H28" s="3">
        <v>1</v>
      </c>
      <c r="I28" s="18">
        <v>0</v>
      </c>
      <c r="J28" s="3">
        <v>0</v>
      </c>
      <c r="K28" s="18">
        <v>0</v>
      </c>
      <c r="U28" s="10">
        <v>2052</v>
      </c>
      <c r="V28" s="10">
        <v>6534</v>
      </c>
    </row>
    <row r="29" spans="1:24" x14ac:dyDescent="0.25">
      <c r="A29" s="3" t="s">
        <v>493</v>
      </c>
      <c r="B29" s="3">
        <v>75871</v>
      </c>
      <c r="C29" s="10" t="s">
        <v>16</v>
      </c>
      <c r="D29" s="10" t="s">
        <v>784</v>
      </c>
      <c r="E29" s="10" t="s">
        <v>48</v>
      </c>
      <c r="F29" s="10" t="s">
        <v>197</v>
      </c>
      <c r="G29" s="10" t="s">
        <v>337</v>
      </c>
      <c r="H29" s="3">
        <v>1</v>
      </c>
      <c r="I29" s="18">
        <v>0</v>
      </c>
      <c r="J29" s="3">
        <v>0</v>
      </c>
      <c r="K29" s="18">
        <v>0</v>
      </c>
      <c r="U29" s="10">
        <v>2053</v>
      </c>
      <c r="V29" s="10">
        <v>6786</v>
      </c>
    </row>
    <row r="30" spans="1:24" x14ac:dyDescent="0.25">
      <c r="A30" s="3" t="s">
        <v>548</v>
      </c>
      <c r="B30" s="3">
        <v>75911</v>
      </c>
      <c r="C30" s="10" t="s">
        <v>16</v>
      </c>
      <c r="D30" s="10" t="s">
        <v>717</v>
      </c>
      <c r="E30" s="10" t="s">
        <v>99</v>
      </c>
      <c r="F30" s="10" t="s">
        <v>248</v>
      </c>
      <c r="G30" s="10" t="s">
        <v>392</v>
      </c>
      <c r="H30" s="3">
        <v>1</v>
      </c>
      <c r="I30" s="18">
        <v>0</v>
      </c>
      <c r="J30" s="3">
        <v>0</v>
      </c>
      <c r="K30" s="18">
        <v>0</v>
      </c>
      <c r="U30" s="10">
        <v>2054</v>
      </c>
      <c r="V30" s="10">
        <v>7037</v>
      </c>
    </row>
    <row r="31" spans="1:24" x14ac:dyDescent="0.25">
      <c r="A31" s="3" t="s">
        <v>590</v>
      </c>
      <c r="B31" s="3">
        <v>75919</v>
      </c>
      <c r="C31" s="10" t="s">
        <v>16</v>
      </c>
      <c r="D31" s="10" t="s">
        <v>654</v>
      </c>
      <c r="E31" s="10" t="s">
        <v>110</v>
      </c>
      <c r="F31" s="10" t="s">
        <v>273</v>
      </c>
      <c r="G31" s="10" t="s">
        <v>434</v>
      </c>
      <c r="H31" s="3">
        <v>1</v>
      </c>
      <c r="I31" s="18">
        <v>0</v>
      </c>
      <c r="J31" s="3">
        <v>0</v>
      </c>
      <c r="K31" s="18">
        <v>0</v>
      </c>
      <c r="U31" s="10">
        <v>2055</v>
      </c>
      <c r="V31" s="10">
        <v>7288</v>
      </c>
    </row>
    <row r="32" spans="1:24" x14ac:dyDescent="0.25">
      <c r="A32" s="3" t="s">
        <v>537</v>
      </c>
      <c r="B32" s="3">
        <v>75926</v>
      </c>
      <c r="C32" s="10" t="s">
        <v>16</v>
      </c>
      <c r="D32" s="10" t="s">
        <v>785</v>
      </c>
      <c r="E32" s="10" t="s">
        <v>90</v>
      </c>
      <c r="F32" s="10" t="s">
        <v>238</v>
      </c>
      <c r="G32" s="10" t="s">
        <v>381</v>
      </c>
      <c r="H32" s="3">
        <v>1</v>
      </c>
      <c r="I32" s="18">
        <v>0</v>
      </c>
      <c r="J32" s="3">
        <v>0</v>
      </c>
      <c r="K32" s="18">
        <v>0</v>
      </c>
      <c r="U32" s="10">
        <v>2056</v>
      </c>
      <c r="V32" s="10">
        <v>7539</v>
      </c>
    </row>
    <row r="33" spans="1:22" x14ac:dyDescent="0.25">
      <c r="A33" s="3" t="s">
        <v>489</v>
      </c>
      <c r="B33" s="3">
        <v>75872</v>
      </c>
      <c r="C33" s="10" t="s">
        <v>6</v>
      </c>
      <c r="D33" s="10" t="s">
        <v>759</v>
      </c>
      <c r="E33" s="10" t="s">
        <v>43</v>
      </c>
      <c r="F33" s="10" t="s">
        <v>193</v>
      </c>
      <c r="G33" s="10" t="s">
        <v>333</v>
      </c>
      <c r="H33" s="3">
        <v>1</v>
      </c>
      <c r="I33" s="18">
        <v>0</v>
      </c>
      <c r="J33" s="3">
        <v>0</v>
      </c>
      <c r="K33" s="18">
        <v>0</v>
      </c>
      <c r="U33" s="10">
        <v>2057</v>
      </c>
      <c r="V33" s="10">
        <v>7791</v>
      </c>
    </row>
    <row r="34" spans="1:22" x14ac:dyDescent="0.25">
      <c r="A34" s="3" t="s">
        <v>487</v>
      </c>
      <c r="B34" s="3">
        <v>75998</v>
      </c>
      <c r="C34" s="10" t="s">
        <v>6</v>
      </c>
      <c r="D34" s="10" t="s">
        <v>656</v>
      </c>
      <c r="E34" s="10" t="s">
        <v>41</v>
      </c>
      <c r="F34" s="10" t="s">
        <v>191</v>
      </c>
      <c r="G34" s="10" t="s">
        <v>331</v>
      </c>
      <c r="H34" s="3">
        <v>1</v>
      </c>
      <c r="I34" s="18">
        <v>0</v>
      </c>
      <c r="J34" s="3">
        <v>0</v>
      </c>
      <c r="K34" s="18">
        <v>0</v>
      </c>
      <c r="U34" s="10">
        <v>2058</v>
      </c>
      <c r="V34" s="10">
        <v>8042</v>
      </c>
    </row>
    <row r="35" spans="1:22" x14ac:dyDescent="0.25">
      <c r="A35" s="3" t="s">
        <v>597</v>
      </c>
      <c r="B35" s="3">
        <v>75935</v>
      </c>
      <c r="C35" s="10" t="s">
        <v>6</v>
      </c>
      <c r="D35" s="10" t="s">
        <v>705</v>
      </c>
      <c r="E35" s="10" t="s">
        <v>146</v>
      </c>
      <c r="F35" s="10" t="s">
        <v>259</v>
      </c>
      <c r="G35" s="10" t="s">
        <v>441</v>
      </c>
      <c r="H35" s="3">
        <v>1</v>
      </c>
      <c r="I35" s="18">
        <v>0</v>
      </c>
      <c r="J35" s="3">
        <v>0</v>
      </c>
      <c r="K35" s="18">
        <v>0</v>
      </c>
      <c r="U35" s="10">
        <v>2059</v>
      </c>
      <c r="V35" s="10">
        <v>8293</v>
      </c>
    </row>
    <row r="36" spans="1:22" x14ac:dyDescent="0.25">
      <c r="A36" s="3" t="s">
        <v>469</v>
      </c>
      <c r="B36" s="3">
        <v>75973</v>
      </c>
      <c r="C36" s="10" t="s">
        <v>6</v>
      </c>
      <c r="D36" s="10" t="s">
        <v>690</v>
      </c>
      <c r="E36" s="10" t="s">
        <v>23</v>
      </c>
      <c r="F36" s="10" t="s">
        <v>173</v>
      </c>
      <c r="G36" s="10" t="s">
        <v>313</v>
      </c>
      <c r="H36" s="3">
        <v>1</v>
      </c>
      <c r="I36" s="18">
        <v>0</v>
      </c>
      <c r="J36" s="3">
        <v>0</v>
      </c>
      <c r="K36" s="18">
        <v>0</v>
      </c>
      <c r="U36" s="10">
        <v>2060</v>
      </c>
      <c r="V36" s="10">
        <v>8544</v>
      </c>
    </row>
    <row r="37" spans="1:22" x14ac:dyDescent="0.25">
      <c r="A37" s="3" t="s">
        <v>486</v>
      </c>
      <c r="B37" s="3">
        <v>75933</v>
      </c>
      <c r="C37" s="10" t="s">
        <v>6</v>
      </c>
      <c r="D37" s="10" t="s">
        <v>780</v>
      </c>
      <c r="E37" s="10" t="s">
        <v>40</v>
      </c>
      <c r="F37" s="10" t="s">
        <v>190</v>
      </c>
      <c r="G37" s="10" t="s">
        <v>330</v>
      </c>
      <c r="H37" s="3">
        <v>1</v>
      </c>
      <c r="I37" s="18">
        <v>0</v>
      </c>
      <c r="J37" s="3">
        <v>0</v>
      </c>
      <c r="K37" s="18">
        <v>0</v>
      </c>
      <c r="U37" s="10">
        <v>2061</v>
      </c>
      <c r="V37" s="10">
        <v>8796</v>
      </c>
    </row>
    <row r="38" spans="1:22" x14ac:dyDescent="0.25">
      <c r="A38" s="3" t="s">
        <v>603</v>
      </c>
      <c r="B38" s="3">
        <v>75845</v>
      </c>
      <c r="C38" s="10" t="s">
        <v>3</v>
      </c>
      <c r="D38" s="10" t="s">
        <v>642</v>
      </c>
      <c r="E38" s="10" t="s">
        <v>152</v>
      </c>
      <c r="F38" s="10" t="s">
        <v>294</v>
      </c>
      <c r="G38" s="10" t="s">
        <v>447</v>
      </c>
      <c r="H38" s="3">
        <v>1</v>
      </c>
      <c r="I38" s="18">
        <v>0</v>
      </c>
      <c r="J38" s="3">
        <v>0</v>
      </c>
      <c r="K38" s="18">
        <v>0</v>
      </c>
      <c r="U38" s="10">
        <v>2062</v>
      </c>
      <c r="V38" s="10">
        <v>9048</v>
      </c>
    </row>
    <row r="39" spans="1:22" x14ac:dyDescent="0.25">
      <c r="A39" s="3" t="s">
        <v>554</v>
      </c>
      <c r="B39" s="3">
        <v>75914</v>
      </c>
      <c r="C39" s="10" t="s">
        <v>3</v>
      </c>
      <c r="D39" s="10" t="s">
        <v>786</v>
      </c>
      <c r="E39" s="10" t="s">
        <v>105</v>
      </c>
      <c r="F39" s="10" t="s">
        <v>254</v>
      </c>
      <c r="G39" s="10" t="s">
        <v>398</v>
      </c>
      <c r="H39" s="3">
        <v>1</v>
      </c>
      <c r="I39" s="18">
        <v>0</v>
      </c>
      <c r="J39" s="3">
        <v>0</v>
      </c>
      <c r="K39" s="18">
        <v>0</v>
      </c>
    </row>
    <row r="40" spans="1:22" x14ac:dyDescent="0.25">
      <c r="A40" s="3" t="s">
        <v>606</v>
      </c>
      <c r="B40" s="3">
        <v>75949</v>
      </c>
      <c r="C40" s="10" t="s">
        <v>3</v>
      </c>
      <c r="D40" s="10" t="s">
        <v>643</v>
      </c>
      <c r="E40" s="10" t="s">
        <v>155</v>
      </c>
      <c r="F40" s="10" t="s">
        <v>297</v>
      </c>
      <c r="G40" s="10" t="s">
        <v>450</v>
      </c>
      <c r="H40" s="3">
        <v>1</v>
      </c>
      <c r="I40" s="18">
        <v>0</v>
      </c>
      <c r="J40" s="3">
        <v>0</v>
      </c>
      <c r="K40" s="18">
        <v>0</v>
      </c>
    </row>
    <row r="41" spans="1:22" x14ac:dyDescent="0.25">
      <c r="A41" s="3" t="s">
        <v>466</v>
      </c>
      <c r="B41" s="3">
        <v>75857</v>
      </c>
      <c r="C41" s="10" t="s">
        <v>3</v>
      </c>
      <c r="D41" s="10" t="s">
        <v>663</v>
      </c>
      <c r="E41" s="10" t="s">
        <v>20</v>
      </c>
      <c r="F41" s="10" t="s">
        <v>170</v>
      </c>
      <c r="G41" s="10" t="s">
        <v>310</v>
      </c>
      <c r="H41" s="3">
        <v>1</v>
      </c>
      <c r="I41" s="18">
        <v>0</v>
      </c>
      <c r="J41" s="3">
        <v>0</v>
      </c>
      <c r="K41" s="18">
        <v>0</v>
      </c>
    </row>
    <row r="42" spans="1:22" x14ac:dyDescent="0.25">
      <c r="A42" s="3" t="s">
        <v>507</v>
      </c>
      <c r="B42" s="3">
        <v>75992</v>
      </c>
      <c r="C42" s="10" t="s">
        <v>3</v>
      </c>
      <c r="D42" s="10" t="s">
        <v>769</v>
      </c>
      <c r="E42" s="10" t="s">
        <v>62</v>
      </c>
      <c r="F42" s="10" t="s">
        <v>208</v>
      </c>
      <c r="G42" s="10" t="s">
        <v>351</v>
      </c>
      <c r="H42" s="3">
        <v>1</v>
      </c>
      <c r="I42" s="18">
        <v>0</v>
      </c>
      <c r="J42" s="3">
        <v>0</v>
      </c>
      <c r="K42" s="18">
        <v>0</v>
      </c>
    </row>
    <row r="43" spans="1:22" x14ac:dyDescent="0.25">
      <c r="A43" s="3" t="s">
        <v>555</v>
      </c>
      <c r="B43" s="3">
        <v>75983</v>
      </c>
      <c r="C43" s="10" t="s">
        <v>8</v>
      </c>
      <c r="D43" s="10" t="s">
        <v>713</v>
      </c>
      <c r="E43" s="10" t="s">
        <v>106</v>
      </c>
      <c r="F43" s="10" t="s">
        <v>255</v>
      </c>
      <c r="G43" s="10" t="s">
        <v>399</v>
      </c>
      <c r="H43" s="3">
        <v>1</v>
      </c>
      <c r="I43" s="18">
        <v>0</v>
      </c>
      <c r="J43" s="3">
        <v>0</v>
      </c>
      <c r="K43" s="18">
        <v>0</v>
      </c>
    </row>
    <row r="44" spans="1:22" x14ac:dyDescent="0.25">
      <c r="A44" s="3" t="s">
        <v>556</v>
      </c>
      <c r="B44" s="3">
        <v>74214</v>
      </c>
      <c r="C44" s="10" t="s">
        <v>8</v>
      </c>
      <c r="D44" s="10" t="s">
        <v>723</v>
      </c>
      <c r="E44" s="10" t="s">
        <v>107</v>
      </c>
      <c r="F44" s="10" t="s">
        <v>256</v>
      </c>
      <c r="G44" s="10" t="s">
        <v>400</v>
      </c>
      <c r="H44" s="3">
        <v>1</v>
      </c>
      <c r="I44" s="18">
        <v>0</v>
      </c>
      <c r="J44" s="3">
        <v>0</v>
      </c>
      <c r="K44" s="18">
        <v>0</v>
      </c>
    </row>
    <row r="45" spans="1:22" x14ac:dyDescent="0.25">
      <c r="A45" s="3" t="s">
        <v>567</v>
      </c>
      <c r="B45" s="3">
        <v>75993</v>
      </c>
      <c r="C45" s="10" t="s">
        <v>8</v>
      </c>
      <c r="D45" s="10" t="s">
        <v>719</v>
      </c>
      <c r="E45" s="10" t="s">
        <v>118</v>
      </c>
      <c r="F45" s="10" t="s">
        <v>265</v>
      </c>
      <c r="G45" s="10" t="s">
        <v>411</v>
      </c>
      <c r="H45" s="3">
        <v>1</v>
      </c>
      <c r="I45" s="18">
        <v>0</v>
      </c>
      <c r="J45" s="3">
        <v>0</v>
      </c>
      <c r="K45" s="18">
        <v>0</v>
      </c>
    </row>
    <row r="46" spans="1:22" x14ac:dyDescent="0.25">
      <c r="A46" s="3" t="s">
        <v>538</v>
      </c>
      <c r="B46" s="3">
        <v>75989</v>
      </c>
      <c r="C46" s="10" t="s">
        <v>8</v>
      </c>
      <c r="D46" s="10" t="s">
        <v>693</v>
      </c>
      <c r="E46" s="10" t="s">
        <v>91</v>
      </c>
      <c r="F46" s="10" t="s">
        <v>239</v>
      </c>
      <c r="G46" s="10" t="s">
        <v>382</v>
      </c>
      <c r="H46" s="3">
        <v>1</v>
      </c>
      <c r="I46" s="18">
        <v>0</v>
      </c>
      <c r="J46" s="3">
        <v>0</v>
      </c>
      <c r="K46" s="18">
        <v>0</v>
      </c>
    </row>
    <row r="47" spans="1:22" x14ac:dyDescent="0.25">
      <c r="A47" s="3" t="s">
        <v>485</v>
      </c>
      <c r="B47" s="3">
        <v>75834</v>
      </c>
      <c r="C47" s="10" t="s">
        <v>5</v>
      </c>
      <c r="D47" s="10" t="s">
        <v>704</v>
      </c>
      <c r="E47" s="10" t="s">
        <v>39</v>
      </c>
      <c r="F47" s="10" t="s">
        <v>189</v>
      </c>
      <c r="G47" s="10" t="s">
        <v>329</v>
      </c>
      <c r="H47" s="3">
        <v>1</v>
      </c>
      <c r="I47" s="18">
        <v>0</v>
      </c>
      <c r="J47" s="3">
        <v>0</v>
      </c>
      <c r="K47" s="18">
        <v>0</v>
      </c>
    </row>
    <row r="48" spans="1:22" x14ac:dyDescent="0.25">
      <c r="A48" s="3" t="s">
        <v>504</v>
      </c>
      <c r="B48" s="3">
        <v>75995</v>
      </c>
      <c r="C48" s="10" t="s">
        <v>5</v>
      </c>
      <c r="D48" s="10" t="s">
        <v>779</v>
      </c>
      <c r="E48" s="10" t="s">
        <v>59</v>
      </c>
      <c r="F48" s="10" t="s">
        <v>176</v>
      </c>
      <c r="G48" s="10" t="s">
        <v>348</v>
      </c>
      <c r="H48" s="3">
        <v>1</v>
      </c>
      <c r="I48" s="18">
        <v>0</v>
      </c>
      <c r="J48" s="3">
        <v>0</v>
      </c>
      <c r="K48" s="18">
        <v>0</v>
      </c>
    </row>
    <row r="49" spans="1:11" x14ac:dyDescent="0.25">
      <c r="A49" s="3" t="s">
        <v>506</v>
      </c>
      <c r="B49" s="3">
        <v>75997</v>
      </c>
      <c r="C49" s="10" t="s">
        <v>5</v>
      </c>
      <c r="D49" s="10" t="s">
        <v>715</v>
      </c>
      <c r="E49" s="10" t="s">
        <v>61</v>
      </c>
      <c r="F49" s="10" t="s">
        <v>207</v>
      </c>
      <c r="G49" s="10" t="s">
        <v>350</v>
      </c>
      <c r="H49" s="3">
        <v>1</v>
      </c>
      <c r="I49" s="18">
        <v>0</v>
      </c>
      <c r="J49" s="3">
        <v>0</v>
      </c>
      <c r="K49" s="18">
        <v>0</v>
      </c>
    </row>
    <row r="50" spans="1:11" x14ac:dyDescent="0.25">
      <c r="A50" s="3" t="s">
        <v>570</v>
      </c>
      <c r="B50" s="3">
        <v>75864</v>
      </c>
      <c r="C50" s="10" t="s">
        <v>11</v>
      </c>
      <c r="D50" s="10" t="s">
        <v>655</v>
      </c>
      <c r="E50" s="10" t="s">
        <v>64</v>
      </c>
      <c r="F50" s="10" t="s">
        <v>268</v>
      </c>
      <c r="G50" s="10" t="s">
        <v>414</v>
      </c>
      <c r="H50" s="3">
        <v>1</v>
      </c>
      <c r="I50" s="18">
        <v>0</v>
      </c>
      <c r="J50" s="3">
        <v>0</v>
      </c>
      <c r="K50" s="18">
        <v>0</v>
      </c>
    </row>
    <row r="51" spans="1:11" x14ac:dyDescent="0.25">
      <c r="A51" s="3" t="s">
        <v>604</v>
      </c>
      <c r="B51" s="3">
        <v>75980</v>
      </c>
      <c r="C51" s="10" t="s">
        <v>11</v>
      </c>
      <c r="D51" s="10" t="s">
        <v>734</v>
      </c>
      <c r="E51" s="10" t="s">
        <v>153</v>
      </c>
      <c r="F51" s="10" t="s">
        <v>295</v>
      </c>
      <c r="G51" s="10" t="s">
        <v>448</v>
      </c>
      <c r="H51" s="3">
        <v>1</v>
      </c>
      <c r="I51" s="18">
        <v>0</v>
      </c>
      <c r="J51" s="3">
        <v>0</v>
      </c>
      <c r="K51" s="18">
        <v>0</v>
      </c>
    </row>
    <row r="52" spans="1:11" x14ac:dyDescent="0.25">
      <c r="A52" s="3" t="s">
        <v>566</v>
      </c>
      <c r="B52" s="3">
        <v>75877</v>
      </c>
      <c r="C52" s="10" t="s">
        <v>11</v>
      </c>
      <c r="D52" s="10" t="s">
        <v>664</v>
      </c>
      <c r="E52" s="10" t="s">
        <v>117</v>
      </c>
      <c r="F52" s="10" t="s">
        <v>264</v>
      </c>
      <c r="G52" s="10" t="s">
        <v>410</v>
      </c>
      <c r="H52" s="3">
        <v>1</v>
      </c>
      <c r="I52" s="18">
        <v>0</v>
      </c>
      <c r="J52" s="3">
        <v>0</v>
      </c>
      <c r="K52" s="18">
        <v>0</v>
      </c>
    </row>
    <row r="53" spans="1:11" x14ac:dyDescent="0.25">
      <c r="A53" s="3" t="s">
        <v>618</v>
      </c>
      <c r="B53" s="3">
        <v>75955</v>
      </c>
      <c r="C53" s="10" t="s">
        <v>11</v>
      </c>
      <c r="D53" s="10" t="s">
        <v>702</v>
      </c>
      <c r="E53" s="10" t="s">
        <v>166</v>
      </c>
      <c r="F53" s="10" t="s">
        <v>306</v>
      </c>
      <c r="G53" s="10" t="s">
        <v>462</v>
      </c>
      <c r="H53" s="3">
        <v>1</v>
      </c>
      <c r="I53" s="18">
        <v>0</v>
      </c>
      <c r="J53" s="3">
        <v>0</v>
      </c>
      <c r="K53" s="18">
        <v>0</v>
      </c>
    </row>
    <row r="54" spans="1:11" x14ac:dyDescent="0.25">
      <c r="A54" s="3" t="s">
        <v>513</v>
      </c>
      <c r="B54" s="3">
        <v>75988</v>
      </c>
      <c r="C54" s="10" t="s">
        <v>11</v>
      </c>
      <c r="D54" s="10" t="s">
        <v>729</v>
      </c>
      <c r="E54" s="10" t="s">
        <v>67</v>
      </c>
      <c r="F54" s="10" t="s">
        <v>214</v>
      </c>
      <c r="G54" s="10" t="s">
        <v>357</v>
      </c>
      <c r="H54" s="3">
        <v>1</v>
      </c>
      <c r="I54" s="18">
        <v>0</v>
      </c>
      <c r="J54" s="3">
        <v>0</v>
      </c>
      <c r="K54" s="18">
        <v>0</v>
      </c>
    </row>
    <row r="55" spans="1:11" x14ac:dyDescent="0.25">
      <c r="A55" s="3" t="s">
        <v>480</v>
      </c>
      <c r="B55" s="3">
        <v>75981</v>
      </c>
      <c r="C55" s="10" t="s">
        <v>11</v>
      </c>
      <c r="D55" s="10" t="s">
        <v>648</v>
      </c>
      <c r="E55" s="10" t="s">
        <v>34</v>
      </c>
      <c r="F55" s="10" t="s">
        <v>184</v>
      </c>
      <c r="G55" s="10" t="s">
        <v>324</v>
      </c>
      <c r="H55" s="3">
        <v>1</v>
      </c>
      <c r="I55" s="18">
        <v>0</v>
      </c>
      <c r="J55" s="3">
        <v>0</v>
      </c>
      <c r="K55" s="18">
        <v>0</v>
      </c>
    </row>
    <row r="56" spans="1:11" x14ac:dyDescent="0.25">
      <c r="A56" s="3" t="s">
        <v>503</v>
      </c>
      <c r="B56" s="3">
        <v>74212</v>
      </c>
      <c r="C56" s="10" t="s">
        <v>7</v>
      </c>
      <c r="D56" s="10" t="s">
        <v>653</v>
      </c>
      <c r="E56" s="10" t="s">
        <v>58</v>
      </c>
      <c r="F56" s="10" t="s">
        <v>205</v>
      </c>
      <c r="G56" s="10" t="s">
        <v>347</v>
      </c>
      <c r="H56" s="3">
        <v>1</v>
      </c>
      <c r="I56" s="18">
        <v>0</v>
      </c>
      <c r="J56" s="3">
        <v>0</v>
      </c>
      <c r="K56" s="18">
        <v>0</v>
      </c>
    </row>
    <row r="57" spans="1:11" x14ac:dyDescent="0.25">
      <c r="A57" s="3" t="s">
        <v>473</v>
      </c>
      <c r="B57" s="3">
        <v>75934</v>
      </c>
      <c r="C57" s="10" t="s">
        <v>7</v>
      </c>
      <c r="D57" s="10" t="s">
        <v>787</v>
      </c>
      <c r="E57" s="10" t="s">
        <v>27</v>
      </c>
      <c r="F57" s="10" t="s">
        <v>177</v>
      </c>
      <c r="G57" s="10" t="s">
        <v>317</v>
      </c>
      <c r="H57" s="3">
        <v>1</v>
      </c>
      <c r="I57" s="18">
        <v>0</v>
      </c>
      <c r="J57" s="3">
        <v>0</v>
      </c>
      <c r="K57" s="18">
        <v>0</v>
      </c>
    </row>
    <row r="58" spans="1:11" x14ac:dyDescent="0.25">
      <c r="A58" s="3" t="s">
        <v>608</v>
      </c>
      <c r="B58" s="3">
        <v>75956</v>
      </c>
      <c r="C58" s="10" t="s">
        <v>7</v>
      </c>
      <c r="D58" s="10" t="s">
        <v>788</v>
      </c>
      <c r="E58" s="10" t="s">
        <v>157</v>
      </c>
      <c r="F58" s="10" t="s">
        <v>298</v>
      </c>
      <c r="G58" s="10" t="s">
        <v>452</v>
      </c>
      <c r="H58" s="3">
        <v>1</v>
      </c>
      <c r="I58" s="18">
        <v>0</v>
      </c>
      <c r="J58" s="3">
        <v>0</v>
      </c>
      <c r="K58" s="18">
        <v>0</v>
      </c>
    </row>
    <row r="59" spans="1:11" x14ac:dyDescent="0.25">
      <c r="A59" s="3" t="s">
        <v>613</v>
      </c>
      <c r="B59" s="3">
        <v>75838</v>
      </c>
      <c r="C59" s="10" t="s">
        <v>9</v>
      </c>
      <c r="D59" s="10" t="s">
        <v>770</v>
      </c>
      <c r="E59" s="10" t="s">
        <v>161</v>
      </c>
      <c r="F59" s="10" t="s">
        <v>303</v>
      </c>
      <c r="G59" s="10" t="s">
        <v>457</v>
      </c>
      <c r="H59" s="3">
        <v>2</v>
      </c>
      <c r="I59" s="18">
        <v>0</v>
      </c>
      <c r="J59" s="3">
        <v>0</v>
      </c>
      <c r="K59" s="18">
        <v>0</v>
      </c>
    </row>
    <row r="60" spans="1:11" x14ac:dyDescent="0.25">
      <c r="A60" s="3" t="s">
        <v>588</v>
      </c>
      <c r="B60" s="3">
        <v>75832</v>
      </c>
      <c r="C60" s="10" t="s">
        <v>9</v>
      </c>
      <c r="D60" s="10" t="s">
        <v>709</v>
      </c>
      <c r="E60" s="10" t="s">
        <v>138</v>
      </c>
      <c r="F60" s="10" t="s">
        <v>283</v>
      </c>
      <c r="G60" s="10" t="s">
        <v>432</v>
      </c>
      <c r="H60" s="3">
        <v>2</v>
      </c>
      <c r="I60" s="18">
        <v>0</v>
      </c>
      <c r="J60" s="3">
        <v>0</v>
      </c>
      <c r="K60" s="18">
        <v>0</v>
      </c>
    </row>
    <row r="61" spans="1:11" x14ac:dyDescent="0.25">
      <c r="A61" s="3" t="s">
        <v>587</v>
      </c>
      <c r="B61" s="3">
        <v>75856</v>
      </c>
      <c r="C61" s="10" t="s">
        <v>2</v>
      </c>
      <c r="D61" s="10" t="s">
        <v>649</v>
      </c>
      <c r="E61" s="10" t="s">
        <v>137</v>
      </c>
      <c r="F61" s="10" t="s">
        <v>282</v>
      </c>
      <c r="G61" s="10" t="s">
        <v>431</v>
      </c>
      <c r="H61" s="3">
        <v>2</v>
      </c>
      <c r="I61" s="18">
        <v>0</v>
      </c>
      <c r="J61" s="3">
        <v>1</v>
      </c>
      <c r="K61" s="18">
        <v>0</v>
      </c>
    </row>
    <row r="62" spans="1:11" x14ac:dyDescent="0.25">
      <c r="A62" s="3" t="s">
        <v>488</v>
      </c>
      <c r="B62" s="3">
        <v>75848</v>
      </c>
      <c r="C62" s="10" t="s">
        <v>14</v>
      </c>
      <c r="D62" s="10" t="s">
        <v>712</v>
      </c>
      <c r="E62" s="10" t="s">
        <v>42</v>
      </c>
      <c r="F62" s="10" t="s">
        <v>192</v>
      </c>
      <c r="G62" s="10" t="s">
        <v>332</v>
      </c>
      <c r="H62" s="3">
        <v>2</v>
      </c>
      <c r="I62" s="18">
        <v>0</v>
      </c>
      <c r="J62" s="3">
        <v>0</v>
      </c>
      <c r="K62" s="18">
        <v>0</v>
      </c>
    </row>
    <row r="63" spans="1:11" x14ac:dyDescent="0.25">
      <c r="A63" s="3" t="s">
        <v>617</v>
      </c>
      <c r="B63" s="3">
        <v>75907</v>
      </c>
      <c r="C63" s="10" t="s">
        <v>14</v>
      </c>
      <c r="D63" s="10" t="s">
        <v>662</v>
      </c>
      <c r="E63" s="10" t="s">
        <v>165</v>
      </c>
      <c r="F63" s="10" t="s">
        <v>170</v>
      </c>
      <c r="G63" s="10" t="s">
        <v>461</v>
      </c>
      <c r="H63" s="3">
        <v>2</v>
      </c>
      <c r="I63" s="18">
        <v>0</v>
      </c>
      <c r="J63" s="3">
        <v>0</v>
      </c>
      <c r="K63" s="18">
        <v>0</v>
      </c>
    </row>
    <row r="64" spans="1:11" x14ac:dyDescent="0.25">
      <c r="A64" s="3" t="s">
        <v>518</v>
      </c>
      <c r="B64" s="3">
        <v>75931</v>
      </c>
      <c r="C64" s="10" t="s">
        <v>14</v>
      </c>
      <c r="D64" s="10" t="s">
        <v>689</v>
      </c>
      <c r="E64" s="10" t="s">
        <v>72</v>
      </c>
      <c r="F64" s="10" t="s">
        <v>219</v>
      </c>
      <c r="G64" s="10" t="s">
        <v>362</v>
      </c>
      <c r="H64" s="3">
        <v>2</v>
      </c>
      <c r="I64" s="18">
        <v>0</v>
      </c>
      <c r="J64" s="3">
        <v>0</v>
      </c>
      <c r="K64" s="18">
        <v>0</v>
      </c>
    </row>
    <row r="65" spans="1:25" x14ac:dyDescent="0.25">
      <c r="A65" s="3" t="s">
        <v>562</v>
      </c>
      <c r="B65" s="3">
        <v>75916</v>
      </c>
      <c r="C65" s="10" t="s">
        <v>14</v>
      </c>
      <c r="D65" s="10" t="s">
        <v>647</v>
      </c>
      <c r="E65" s="10" t="s">
        <v>113</v>
      </c>
      <c r="F65" s="10" t="s">
        <v>103</v>
      </c>
      <c r="G65" s="10" t="s">
        <v>406</v>
      </c>
      <c r="H65" s="3">
        <v>2</v>
      </c>
      <c r="I65" s="18">
        <v>0</v>
      </c>
      <c r="J65" s="3">
        <v>0</v>
      </c>
      <c r="K65" s="18">
        <v>0</v>
      </c>
    </row>
    <row r="66" spans="1:25" x14ac:dyDescent="0.25">
      <c r="A66" s="3" t="s">
        <v>500</v>
      </c>
      <c r="B66" s="3">
        <v>74209</v>
      </c>
      <c r="C66" s="10" t="s">
        <v>15</v>
      </c>
      <c r="D66" s="10" t="s">
        <v>718</v>
      </c>
      <c r="E66" s="10" t="s">
        <v>55</v>
      </c>
      <c r="F66" s="10" t="s">
        <v>183</v>
      </c>
      <c r="G66" s="10" t="s">
        <v>344</v>
      </c>
      <c r="H66" s="3">
        <v>2</v>
      </c>
      <c r="I66" s="18">
        <v>0</v>
      </c>
      <c r="J66" s="3">
        <v>2</v>
      </c>
      <c r="K66" s="18">
        <v>0</v>
      </c>
    </row>
    <row r="67" spans="1:25" x14ac:dyDescent="0.25">
      <c r="A67" s="3" t="s">
        <v>499</v>
      </c>
      <c r="B67" s="3">
        <v>74208</v>
      </c>
      <c r="C67" s="10" t="s">
        <v>15</v>
      </c>
      <c r="D67" s="10" t="s">
        <v>680</v>
      </c>
      <c r="E67" s="10" t="s">
        <v>54</v>
      </c>
      <c r="F67" s="10" t="s">
        <v>202</v>
      </c>
      <c r="G67" s="10" t="s">
        <v>343</v>
      </c>
      <c r="H67" s="3">
        <v>2</v>
      </c>
      <c r="I67" s="18">
        <v>0</v>
      </c>
      <c r="J67" s="3">
        <v>2</v>
      </c>
      <c r="K67" s="18">
        <v>0</v>
      </c>
    </row>
    <row r="68" spans="1:25" x14ac:dyDescent="0.25">
      <c r="A68" s="3" t="s">
        <v>497</v>
      </c>
      <c r="B68" s="3">
        <v>74205</v>
      </c>
      <c r="C68" s="10" t="s">
        <v>15</v>
      </c>
      <c r="D68" s="10" t="s">
        <v>675</v>
      </c>
      <c r="E68" s="10" t="s">
        <v>52</v>
      </c>
      <c r="F68" s="10" t="s">
        <v>201</v>
      </c>
      <c r="G68" s="10" t="s">
        <v>341</v>
      </c>
      <c r="H68" s="3">
        <v>2</v>
      </c>
      <c r="I68" s="18">
        <v>0</v>
      </c>
      <c r="J68" s="3">
        <v>2</v>
      </c>
      <c r="K68" s="18">
        <v>0</v>
      </c>
    </row>
    <row r="69" spans="1:25" x14ac:dyDescent="0.25">
      <c r="A69" s="3" t="s">
        <v>496</v>
      </c>
      <c r="B69" s="3">
        <v>74204</v>
      </c>
      <c r="C69" s="10" t="s">
        <v>15</v>
      </c>
      <c r="D69" s="10" t="s">
        <v>708</v>
      </c>
      <c r="E69" s="10" t="s">
        <v>51</v>
      </c>
      <c r="F69" s="10" t="s">
        <v>200</v>
      </c>
      <c r="G69" s="10" t="s">
        <v>340</v>
      </c>
      <c r="H69" s="3">
        <v>2</v>
      </c>
      <c r="I69" s="18">
        <v>0</v>
      </c>
      <c r="J69" s="3">
        <v>2</v>
      </c>
      <c r="K69" s="18">
        <v>0</v>
      </c>
    </row>
    <row r="70" spans="1:25" x14ac:dyDescent="0.25">
      <c r="A70" s="3" t="s">
        <v>544</v>
      </c>
      <c r="B70" s="3">
        <v>75906</v>
      </c>
      <c r="C70" s="10" t="s">
        <v>16</v>
      </c>
      <c r="D70" s="10" t="s">
        <v>638</v>
      </c>
      <c r="E70" s="10" t="s">
        <v>45</v>
      </c>
      <c r="F70" s="10" t="s">
        <v>245</v>
      </c>
      <c r="G70" s="10" t="s">
        <v>388</v>
      </c>
      <c r="H70" s="3">
        <v>2</v>
      </c>
      <c r="I70" s="18">
        <v>0</v>
      </c>
      <c r="J70" s="3">
        <v>0</v>
      </c>
      <c r="K70" s="18">
        <v>0</v>
      </c>
    </row>
    <row r="71" spans="1:25" x14ac:dyDescent="0.25">
      <c r="A71" s="3" t="s">
        <v>525</v>
      </c>
      <c r="B71" s="3">
        <v>75968</v>
      </c>
      <c r="C71" s="10" t="s">
        <v>11</v>
      </c>
      <c r="D71" s="10" t="s">
        <v>688</v>
      </c>
      <c r="E71" s="10" t="s">
        <v>79</v>
      </c>
      <c r="F71" s="10" t="s">
        <v>226</v>
      </c>
      <c r="G71" s="10" t="s">
        <v>369</v>
      </c>
      <c r="H71" s="3">
        <v>2</v>
      </c>
      <c r="I71" s="18">
        <v>0</v>
      </c>
      <c r="J71" s="3">
        <v>0</v>
      </c>
      <c r="K71" s="18">
        <v>0</v>
      </c>
    </row>
    <row r="72" spans="1:25" x14ac:dyDescent="0.25">
      <c r="A72" s="3" t="s">
        <v>593</v>
      </c>
      <c r="B72" s="3">
        <v>75837</v>
      </c>
      <c r="C72" s="10" t="s">
        <v>7</v>
      </c>
      <c r="D72" s="10" t="s">
        <v>684</v>
      </c>
      <c r="E72" s="10" t="s">
        <v>142</v>
      </c>
      <c r="F72" s="10" t="s">
        <v>286</v>
      </c>
      <c r="G72" s="10" t="s">
        <v>437</v>
      </c>
      <c r="H72" s="3">
        <v>2</v>
      </c>
      <c r="I72" s="18">
        <v>0</v>
      </c>
      <c r="J72" s="3">
        <v>0</v>
      </c>
      <c r="K72" s="18">
        <v>0</v>
      </c>
      <c r="Y72"/>
    </row>
    <row r="73" spans="1:25" x14ac:dyDescent="0.25">
      <c r="A73" s="3" t="s">
        <v>619</v>
      </c>
      <c r="B73" s="3">
        <v>75836</v>
      </c>
      <c r="C73" s="10" t="s">
        <v>9</v>
      </c>
      <c r="D73" s="10" t="s">
        <v>681</v>
      </c>
      <c r="E73" s="10" t="s">
        <v>167</v>
      </c>
      <c r="F73" s="10" t="s">
        <v>307</v>
      </c>
      <c r="G73" s="10" t="s">
        <v>463</v>
      </c>
      <c r="H73" s="3">
        <v>3</v>
      </c>
      <c r="I73" s="18">
        <v>0</v>
      </c>
      <c r="J73" s="3">
        <v>0</v>
      </c>
      <c r="K73" s="18">
        <v>1</v>
      </c>
      <c r="Y73"/>
    </row>
    <row r="74" spans="1:25" x14ac:dyDescent="0.25">
      <c r="A74" s="3" t="s">
        <v>563</v>
      </c>
      <c r="B74" s="3">
        <v>75860</v>
      </c>
      <c r="C74" s="10" t="s">
        <v>9</v>
      </c>
      <c r="D74" s="10" t="s">
        <v>727</v>
      </c>
      <c r="E74" s="10" t="s">
        <v>114</v>
      </c>
      <c r="F74" s="10" t="s">
        <v>262</v>
      </c>
      <c r="G74" s="10" t="s">
        <v>407</v>
      </c>
      <c r="H74" s="3">
        <v>3</v>
      </c>
      <c r="I74" s="18">
        <v>0</v>
      </c>
      <c r="J74" s="3">
        <v>0</v>
      </c>
      <c r="K74" s="18">
        <v>1</v>
      </c>
      <c r="Y74"/>
    </row>
    <row r="75" spans="1:25" x14ac:dyDescent="0.25">
      <c r="A75" s="3" t="s">
        <v>514</v>
      </c>
      <c r="B75" s="3">
        <v>75835</v>
      </c>
      <c r="C75" s="10" t="s">
        <v>9</v>
      </c>
      <c r="D75" s="10" t="s">
        <v>660</v>
      </c>
      <c r="E75" s="10" t="s">
        <v>68</v>
      </c>
      <c r="F75" s="10" t="s">
        <v>215</v>
      </c>
      <c r="G75" s="10" t="s">
        <v>358</v>
      </c>
      <c r="H75" s="3">
        <v>3</v>
      </c>
      <c r="I75" s="18">
        <v>0</v>
      </c>
      <c r="J75" s="3">
        <v>0</v>
      </c>
      <c r="K75" s="18">
        <v>1</v>
      </c>
      <c r="Y75"/>
    </row>
    <row r="76" spans="1:25" x14ac:dyDescent="0.25">
      <c r="A76" s="3" t="s">
        <v>515</v>
      </c>
      <c r="B76" s="3">
        <v>75858</v>
      </c>
      <c r="C76" s="10" t="s">
        <v>4</v>
      </c>
      <c r="D76" s="10" t="s">
        <v>755</v>
      </c>
      <c r="E76" s="10" t="s">
        <v>69</v>
      </c>
      <c r="F76" s="10" t="s">
        <v>216</v>
      </c>
      <c r="G76" s="10" t="s">
        <v>359</v>
      </c>
      <c r="H76" s="3">
        <v>3</v>
      </c>
      <c r="I76" s="18">
        <v>0</v>
      </c>
      <c r="J76" s="3">
        <v>0</v>
      </c>
      <c r="K76" s="18">
        <v>1</v>
      </c>
      <c r="Y76"/>
    </row>
    <row r="77" spans="1:25" x14ac:dyDescent="0.25">
      <c r="A77" s="3" t="s">
        <v>569</v>
      </c>
      <c r="B77" s="3">
        <v>75859</v>
      </c>
      <c r="C77" s="10" t="s">
        <v>4</v>
      </c>
      <c r="D77" s="10" t="s">
        <v>725</v>
      </c>
      <c r="E77" s="10" t="s">
        <v>81</v>
      </c>
      <c r="F77" s="10" t="s">
        <v>267</v>
      </c>
      <c r="G77" s="10" t="s">
        <v>413</v>
      </c>
      <c r="H77" s="3">
        <v>3</v>
      </c>
      <c r="I77" s="18">
        <v>0</v>
      </c>
      <c r="J77" s="3">
        <v>0</v>
      </c>
      <c r="K77" s="18">
        <v>1</v>
      </c>
      <c r="Y77"/>
    </row>
    <row r="78" spans="1:25" x14ac:dyDescent="0.25">
      <c r="A78" s="3" t="s">
        <v>594</v>
      </c>
      <c r="B78" s="3">
        <v>75853</v>
      </c>
      <c r="C78" s="10" t="s">
        <v>4</v>
      </c>
      <c r="D78" s="10" t="s">
        <v>667</v>
      </c>
      <c r="E78" s="10" t="s">
        <v>143</v>
      </c>
      <c r="F78" s="10" t="s">
        <v>287</v>
      </c>
      <c r="G78" s="10" t="s">
        <v>438</v>
      </c>
      <c r="H78" s="3">
        <v>3</v>
      </c>
      <c r="I78" s="18">
        <v>0</v>
      </c>
      <c r="J78" s="3">
        <v>1</v>
      </c>
      <c r="K78" s="18">
        <v>1</v>
      </c>
      <c r="Y78"/>
    </row>
    <row r="79" spans="1:25" x14ac:dyDescent="0.25">
      <c r="A79" s="3" t="s">
        <v>522</v>
      </c>
      <c r="B79" s="3">
        <v>75851</v>
      </c>
      <c r="C79" s="10" t="s">
        <v>4</v>
      </c>
      <c r="D79" s="10" t="s">
        <v>659</v>
      </c>
      <c r="E79" s="10" t="s">
        <v>76</v>
      </c>
      <c r="F79" s="10" t="s">
        <v>223</v>
      </c>
      <c r="G79" s="10" t="s">
        <v>366</v>
      </c>
      <c r="H79" s="3">
        <v>3</v>
      </c>
      <c r="I79" s="18">
        <v>0</v>
      </c>
      <c r="J79" s="3">
        <v>0</v>
      </c>
      <c r="K79" s="18">
        <v>1</v>
      </c>
      <c r="Y79"/>
    </row>
    <row r="80" spans="1:25" x14ac:dyDescent="0.25">
      <c r="A80" s="3" t="s">
        <v>558</v>
      </c>
      <c r="B80" s="3">
        <v>75852</v>
      </c>
      <c r="C80" s="10" t="s">
        <v>4</v>
      </c>
      <c r="D80" s="10" t="s">
        <v>634</v>
      </c>
      <c r="E80" s="10" t="s">
        <v>109</v>
      </c>
      <c r="F80" s="10" t="s">
        <v>258</v>
      </c>
      <c r="G80" s="10" t="s">
        <v>402</v>
      </c>
      <c r="H80" s="3">
        <v>3</v>
      </c>
      <c r="I80" s="18">
        <v>0</v>
      </c>
      <c r="J80" s="3">
        <v>0</v>
      </c>
      <c r="K80" s="18">
        <v>1</v>
      </c>
      <c r="Y80"/>
    </row>
    <row r="81" spans="1:25" x14ac:dyDescent="0.25">
      <c r="A81" s="3" t="s">
        <v>595</v>
      </c>
      <c r="B81" s="3">
        <v>75854</v>
      </c>
      <c r="C81" s="10" t="s">
        <v>4</v>
      </c>
      <c r="D81" s="10" t="s">
        <v>644</v>
      </c>
      <c r="E81" s="10" t="s">
        <v>144</v>
      </c>
      <c r="F81" s="10" t="s">
        <v>288</v>
      </c>
      <c r="G81" s="10" t="s">
        <v>439</v>
      </c>
      <c r="H81" s="3">
        <v>3</v>
      </c>
      <c r="I81" s="18">
        <v>0</v>
      </c>
      <c r="J81" s="3">
        <v>0</v>
      </c>
      <c r="K81" s="18">
        <v>1</v>
      </c>
      <c r="Y81"/>
    </row>
    <row r="82" spans="1:25" x14ac:dyDescent="0.25">
      <c r="A82" s="3" t="s">
        <v>521</v>
      </c>
      <c r="B82" s="3">
        <v>75840</v>
      </c>
      <c r="C82" s="10" t="s">
        <v>12</v>
      </c>
      <c r="D82" s="10" t="s">
        <v>679</v>
      </c>
      <c r="E82" s="10" t="s">
        <v>75</v>
      </c>
      <c r="F82" s="10" t="s">
        <v>222</v>
      </c>
      <c r="G82" s="10" t="s">
        <v>365</v>
      </c>
      <c r="H82" s="3">
        <v>3</v>
      </c>
      <c r="I82" s="18">
        <v>0</v>
      </c>
      <c r="J82" s="3">
        <v>1</v>
      </c>
      <c r="K82" s="18">
        <v>1</v>
      </c>
      <c r="Y82"/>
    </row>
    <row r="83" spans="1:25" x14ac:dyDescent="0.25">
      <c r="A83" s="3" t="s">
        <v>528</v>
      </c>
      <c r="B83" s="3">
        <v>75849</v>
      </c>
      <c r="C83" s="10" t="s">
        <v>12</v>
      </c>
      <c r="D83" s="10" t="s">
        <v>720</v>
      </c>
      <c r="E83" s="10" t="s">
        <v>81</v>
      </c>
      <c r="F83" s="10" t="s">
        <v>229</v>
      </c>
      <c r="G83" s="10" t="s">
        <v>372</v>
      </c>
      <c r="H83" s="3">
        <v>3</v>
      </c>
      <c r="I83" s="18">
        <v>0</v>
      </c>
      <c r="J83" s="3">
        <v>1</v>
      </c>
      <c r="K83" s="18">
        <v>1</v>
      </c>
      <c r="Y83" s="23"/>
    </row>
    <row r="84" spans="1:25" x14ac:dyDescent="0.25">
      <c r="A84" s="3" t="s">
        <v>482</v>
      </c>
      <c r="B84" s="3">
        <v>75844</v>
      </c>
      <c r="C84" s="10" t="s">
        <v>12</v>
      </c>
      <c r="D84" s="10" t="s">
        <v>749</v>
      </c>
      <c r="E84" s="10" t="s">
        <v>36</v>
      </c>
      <c r="F84" s="10" t="s">
        <v>186</v>
      </c>
      <c r="G84" s="10" t="s">
        <v>326</v>
      </c>
      <c r="H84" s="3">
        <v>3</v>
      </c>
      <c r="I84" s="18">
        <v>1</v>
      </c>
      <c r="J84" s="3">
        <v>0</v>
      </c>
      <c r="K84" s="18">
        <v>0</v>
      </c>
      <c r="Y84"/>
    </row>
    <row r="85" spans="1:25" x14ac:dyDescent="0.25">
      <c r="A85" s="3" t="s">
        <v>524</v>
      </c>
      <c r="B85" s="3">
        <v>75846</v>
      </c>
      <c r="C85" s="10" t="s">
        <v>12</v>
      </c>
      <c r="D85" s="10" t="s">
        <v>731</v>
      </c>
      <c r="E85" s="10" t="s">
        <v>78</v>
      </c>
      <c r="F85" s="10" t="s">
        <v>225</v>
      </c>
      <c r="G85" s="10" t="s">
        <v>368</v>
      </c>
      <c r="H85" s="3">
        <v>3</v>
      </c>
      <c r="I85" s="18">
        <v>0</v>
      </c>
      <c r="J85" s="3">
        <v>0</v>
      </c>
      <c r="K85" s="18">
        <v>1</v>
      </c>
      <c r="Y85"/>
    </row>
    <row r="86" spans="1:25" x14ac:dyDescent="0.25">
      <c r="A86" s="3" t="s">
        <v>526</v>
      </c>
      <c r="B86" s="3">
        <v>75841</v>
      </c>
      <c r="C86" s="10" t="s">
        <v>12</v>
      </c>
      <c r="D86" s="10" t="s">
        <v>707</v>
      </c>
      <c r="E86" s="10" t="s">
        <v>64</v>
      </c>
      <c r="F86" s="10" t="s">
        <v>227</v>
      </c>
      <c r="G86" s="10" t="s">
        <v>370</v>
      </c>
      <c r="H86" s="3">
        <v>3</v>
      </c>
      <c r="I86" s="18">
        <v>0</v>
      </c>
      <c r="J86" s="3">
        <v>1</v>
      </c>
      <c r="K86" s="18">
        <v>1</v>
      </c>
      <c r="Y86"/>
    </row>
    <row r="87" spans="1:25" x14ac:dyDescent="0.25">
      <c r="A87" s="3" t="s">
        <v>519</v>
      </c>
      <c r="B87" s="3">
        <v>75843</v>
      </c>
      <c r="C87" s="10" t="s">
        <v>12</v>
      </c>
      <c r="D87" s="10" t="s">
        <v>661</v>
      </c>
      <c r="E87" s="10" t="s">
        <v>73</v>
      </c>
      <c r="F87" s="10" t="s">
        <v>220</v>
      </c>
      <c r="G87" s="10" t="s">
        <v>363</v>
      </c>
      <c r="H87" s="3">
        <v>3</v>
      </c>
      <c r="I87" s="18">
        <v>0</v>
      </c>
      <c r="J87" s="3">
        <v>1</v>
      </c>
      <c r="K87" s="18">
        <v>1</v>
      </c>
      <c r="Y87" s="23"/>
    </row>
    <row r="88" spans="1:25" x14ac:dyDescent="0.25">
      <c r="A88" s="3" t="s">
        <v>517</v>
      </c>
      <c r="B88" s="3">
        <v>75867</v>
      </c>
      <c r="C88" s="10" t="s">
        <v>2</v>
      </c>
      <c r="D88" s="10" t="s">
        <v>646</v>
      </c>
      <c r="E88" s="10" t="s">
        <v>71</v>
      </c>
      <c r="F88" s="10" t="s">
        <v>218</v>
      </c>
      <c r="G88" s="10" t="s">
        <v>361</v>
      </c>
      <c r="H88" s="3">
        <v>3</v>
      </c>
      <c r="I88" s="18">
        <v>0</v>
      </c>
      <c r="J88" s="3">
        <v>1</v>
      </c>
      <c r="K88" s="18">
        <v>1</v>
      </c>
      <c r="Y88"/>
    </row>
    <row r="89" spans="1:25" x14ac:dyDescent="0.25">
      <c r="A89" s="3" t="s">
        <v>510</v>
      </c>
      <c r="B89" s="3">
        <v>75865</v>
      </c>
      <c r="C89" s="10" t="s">
        <v>2</v>
      </c>
      <c r="D89" s="10" t="s">
        <v>639</v>
      </c>
      <c r="E89" s="10" t="s">
        <v>65</v>
      </c>
      <c r="F89" s="10" t="s">
        <v>211</v>
      </c>
      <c r="G89" s="10" t="s">
        <v>354</v>
      </c>
      <c r="H89" s="3">
        <v>3</v>
      </c>
      <c r="I89" s="18">
        <v>0</v>
      </c>
      <c r="J89" s="3">
        <v>0</v>
      </c>
      <c r="K89" s="18">
        <v>1</v>
      </c>
      <c r="Y89"/>
    </row>
    <row r="90" spans="1:25" x14ac:dyDescent="0.25">
      <c r="A90" s="3" t="s">
        <v>575</v>
      </c>
      <c r="B90" s="3">
        <v>75863</v>
      </c>
      <c r="C90" s="10" t="s">
        <v>2</v>
      </c>
      <c r="D90" s="10" t="s">
        <v>762</v>
      </c>
      <c r="E90" s="10" t="s">
        <v>124</v>
      </c>
      <c r="F90" s="10" t="s">
        <v>272</v>
      </c>
      <c r="G90" s="10" t="s">
        <v>419</v>
      </c>
      <c r="H90" s="3">
        <v>3</v>
      </c>
      <c r="I90" s="18">
        <v>0</v>
      </c>
      <c r="J90" s="3">
        <v>0</v>
      </c>
      <c r="K90" s="18">
        <v>1</v>
      </c>
      <c r="Y90"/>
    </row>
    <row r="91" spans="1:25" x14ac:dyDescent="0.25">
      <c r="A91" s="3" t="s">
        <v>574</v>
      </c>
      <c r="B91" s="3">
        <v>75868</v>
      </c>
      <c r="C91" s="10" t="s">
        <v>2</v>
      </c>
      <c r="D91" s="10" t="s">
        <v>748</v>
      </c>
      <c r="E91" s="10" t="s">
        <v>123</v>
      </c>
      <c r="F91" s="10" t="s">
        <v>271</v>
      </c>
      <c r="G91" s="10" t="s">
        <v>418</v>
      </c>
      <c r="H91" s="3">
        <v>3</v>
      </c>
      <c r="I91" s="18">
        <v>0</v>
      </c>
      <c r="J91" s="3">
        <v>0</v>
      </c>
      <c r="K91" s="18">
        <v>1</v>
      </c>
      <c r="Y91"/>
    </row>
    <row r="92" spans="1:25" x14ac:dyDescent="0.25">
      <c r="A92" s="3" t="s">
        <v>580</v>
      </c>
      <c r="B92" s="3">
        <v>75861</v>
      </c>
      <c r="C92" s="10" t="s">
        <v>2</v>
      </c>
      <c r="D92" s="10" t="s">
        <v>771</v>
      </c>
      <c r="E92" s="10" t="s">
        <v>129</v>
      </c>
      <c r="F92" s="10" t="s">
        <v>276</v>
      </c>
      <c r="G92" s="10" t="s">
        <v>424</v>
      </c>
      <c r="H92" s="3">
        <v>3</v>
      </c>
      <c r="I92" s="18">
        <v>0</v>
      </c>
      <c r="J92" s="3">
        <v>1</v>
      </c>
      <c r="K92" s="18">
        <v>1</v>
      </c>
      <c r="Y92"/>
    </row>
    <row r="93" spans="1:25" x14ac:dyDescent="0.25">
      <c r="A93" s="3" t="s">
        <v>586</v>
      </c>
      <c r="B93" s="3">
        <v>75862</v>
      </c>
      <c r="C93" s="10" t="s">
        <v>2</v>
      </c>
      <c r="D93" s="10" t="s">
        <v>744</v>
      </c>
      <c r="E93" s="10" t="s">
        <v>136</v>
      </c>
      <c r="F93" s="10" t="s">
        <v>281</v>
      </c>
      <c r="G93" s="10" t="s">
        <v>430</v>
      </c>
      <c r="H93" s="3">
        <v>3</v>
      </c>
      <c r="I93" s="18">
        <v>0</v>
      </c>
      <c r="J93" s="3">
        <v>0</v>
      </c>
      <c r="K93" s="18">
        <v>1</v>
      </c>
      <c r="Y93"/>
    </row>
    <row r="94" spans="1:25" x14ac:dyDescent="0.25">
      <c r="A94" s="3" t="s">
        <v>509</v>
      </c>
      <c r="B94" s="3">
        <v>75879</v>
      </c>
      <c r="C94" s="10" t="s">
        <v>2</v>
      </c>
      <c r="D94" s="10" t="s">
        <v>668</v>
      </c>
      <c r="E94" s="10" t="s">
        <v>64</v>
      </c>
      <c r="F94" s="10" t="s">
        <v>210</v>
      </c>
      <c r="G94" s="10" t="s">
        <v>353</v>
      </c>
      <c r="H94" s="3">
        <v>3</v>
      </c>
      <c r="I94" s="18">
        <v>0</v>
      </c>
      <c r="J94" s="3">
        <v>1</v>
      </c>
      <c r="K94" s="18">
        <v>1</v>
      </c>
      <c r="Y94"/>
    </row>
    <row r="95" spans="1:25" x14ac:dyDescent="0.25">
      <c r="A95" s="3" t="s">
        <v>610</v>
      </c>
      <c r="B95" s="3">
        <v>75901</v>
      </c>
      <c r="C95" s="10" t="s">
        <v>2</v>
      </c>
      <c r="D95" s="10" t="s">
        <v>724</v>
      </c>
      <c r="E95" s="10" t="s">
        <v>158</v>
      </c>
      <c r="F95" s="10" t="s">
        <v>300</v>
      </c>
      <c r="G95" s="10" t="s">
        <v>454</v>
      </c>
      <c r="H95" s="3">
        <v>3</v>
      </c>
      <c r="I95" s="18">
        <v>0</v>
      </c>
      <c r="J95" s="3">
        <v>1</v>
      </c>
      <c r="K95" s="18">
        <v>1</v>
      </c>
      <c r="Y95"/>
    </row>
    <row r="96" spans="1:25" x14ac:dyDescent="0.25">
      <c r="A96" s="3" t="s">
        <v>552</v>
      </c>
      <c r="B96" s="3">
        <v>75982</v>
      </c>
      <c r="C96" s="10" t="s">
        <v>14</v>
      </c>
      <c r="D96" s="10" t="s">
        <v>685</v>
      </c>
      <c r="E96" s="10" t="s">
        <v>103</v>
      </c>
      <c r="F96" s="10" t="s">
        <v>252</v>
      </c>
      <c r="G96" s="10" t="s">
        <v>396</v>
      </c>
      <c r="H96" s="3">
        <v>3</v>
      </c>
      <c r="I96" s="18">
        <v>0</v>
      </c>
      <c r="J96" s="3">
        <v>0</v>
      </c>
      <c r="K96" s="18">
        <v>1</v>
      </c>
      <c r="Y96"/>
    </row>
    <row r="97" spans="1:11" x14ac:dyDescent="0.25">
      <c r="A97" s="3" t="s">
        <v>523</v>
      </c>
      <c r="B97" s="3">
        <v>75874</v>
      </c>
      <c r="C97" s="10" t="s">
        <v>14</v>
      </c>
      <c r="D97" s="10" t="s">
        <v>658</v>
      </c>
      <c r="E97" s="10" t="s">
        <v>77</v>
      </c>
      <c r="F97" s="10" t="s">
        <v>224</v>
      </c>
      <c r="G97" s="10" t="s">
        <v>367</v>
      </c>
      <c r="H97" s="3">
        <v>3</v>
      </c>
      <c r="I97" s="18">
        <v>0</v>
      </c>
      <c r="J97" s="3">
        <v>0</v>
      </c>
      <c r="K97" s="18">
        <v>1</v>
      </c>
    </row>
    <row r="98" spans="1:11" x14ac:dyDescent="0.25">
      <c r="A98" s="3" t="s">
        <v>601</v>
      </c>
      <c r="B98" s="3">
        <v>75875</v>
      </c>
      <c r="C98" s="10" t="s">
        <v>14</v>
      </c>
      <c r="D98" s="10" t="s">
        <v>768</v>
      </c>
      <c r="E98" s="10" t="s">
        <v>150</v>
      </c>
      <c r="F98" s="10" t="s">
        <v>293</v>
      </c>
      <c r="G98" s="10" t="s">
        <v>445</v>
      </c>
      <c r="H98" s="3">
        <v>3</v>
      </c>
      <c r="I98" s="18">
        <v>0</v>
      </c>
      <c r="J98" s="3">
        <v>0</v>
      </c>
      <c r="K98" s="18">
        <v>1</v>
      </c>
    </row>
    <row r="99" spans="1:11" x14ac:dyDescent="0.25">
      <c r="A99" s="3" t="s">
        <v>511</v>
      </c>
      <c r="B99" s="3">
        <v>75866</v>
      </c>
      <c r="C99" s="10" t="s">
        <v>17</v>
      </c>
      <c r="D99" s="10" t="s">
        <v>763</v>
      </c>
      <c r="E99" s="10" t="s">
        <v>65</v>
      </c>
      <c r="F99" s="10" t="s">
        <v>212</v>
      </c>
      <c r="G99" s="10" t="s">
        <v>355</v>
      </c>
      <c r="H99" s="3">
        <v>3</v>
      </c>
      <c r="I99" s="18">
        <v>0</v>
      </c>
      <c r="J99" s="3">
        <v>0</v>
      </c>
      <c r="K99" s="18">
        <v>1</v>
      </c>
    </row>
    <row r="100" spans="1:11" x14ac:dyDescent="0.25">
      <c r="A100" s="3" t="s">
        <v>551</v>
      </c>
      <c r="B100" s="3">
        <v>75888</v>
      </c>
      <c r="C100" s="10" t="s">
        <v>17</v>
      </c>
      <c r="D100" s="10" t="s">
        <v>728</v>
      </c>
      <c r="E100" s="10" t="s">
        <v>102</v>
      </c>
      <c r="F100" s="10" t="s">
        <v>251</v>
      </c>
      <c r="G100" s="10" t="s">
        <v>395</v>
      </c>
      <c r="H100" s="3">
        <v>3</v>
      </c>
      <c r="I100" s="18">
        <v>0</v>
      </c>
      <c r="J100" s="3">
        <v>2</v>
      </c>
      <c r="K100" s="18">
        <v>1</v>
      </c>
    </row>
    <row r="101" spans="1:11" x14ac:dyDescent="0.25">
      <c r="A101" s="3" t="s">
        <v>581</v>
      </c>
      <c r="B101" s="3">
        <v>75887</v>
      </c>
      <c r="C101" s="10" t="s">
        <v>17</v>
      </c>
      <c r="D101" s="10" t="s">
        <v>678</v>
      </c>
      <c r="E101" s="10" t="s">
        <v>131</v>
      </c>
      <c r="F101" s="10" t="s">
        <v>277</v>
      </c>
      <c r="G101" s="10" t="s">
        <v>425</v>
      </c>
      <c r="H101" s="3">
        <v>3</v>
      </c>
      <c r="I101" s="18">
        <v>0</v>
      </c>
      <c r="J101" s="3">
        <v>0</v>
      </c>
      <c r="K101" s="18">
        <v>1</v>
      </c>
    </row>
    <row r="102" spans="1:11" x14ac:dyDescent="0.25">
      <c r="A102" s="3" t="s">
        <v>607</v>
      </c>
      <c r="B102" s="3">
        <v>75883</v>
      </c>
      <c r="C102" s="10" t="s">
        <v>17</v>
      </c>
      <c r="D102" s="10" t="s">
        <v>764</v>
      </c>
      <c r="E102" s="10" t="s">
        <v>156</v>
      </c>
      <c r="F102" s="10" t="s">
        <v>297</v>
      </c>
      <c r="G102" s="10" t="s">
        <v>451</v>
      </c>
      <c r="H102" s="3">
        <v>3</v>
      </c>
      <c r="I102" s="18">
        <v>0</v>
      </c>
      <c r="J102" s="3">
        <v>0</v>
      </c>
      <c r="K102" s="18">
        <v>1</v>
      </c>
    </row>
    <row r="103" spans="1:11" x14ac:dyDescent="0.25">
      <c r="A103" s="3" t="s">
        <v>543</v>
      </c>
      <c r="B103" s="3">
        <v>75881</v>
      </c>
      <c r="C103" s="10" t="s">
        <v>17</v>
      </c>
      <c r="D103" s="10" t="s">
        <v>732</v>
      </c>
      <c r="E103" s="10" t="s">
        <v>95</v>
      </c>
      <c r="F103" s="10" t="s">
        <v>244</v>
      </c>
      <c r="G103" s="10" t="s">
        <v>387</v>
      </c>
      <c r="H103" s="3">
        <v>3</v>
      </c>
      <c r="I103" s="18">
        <v>0</v>
      </c>
      <c r="J103" s="3">
        <v>0</v>
      </c>
      <c r="K103" s="18">
        <v>1</v>
      </c>
    </row>
    <row r="104" spans="1:11" x14ac:dyDescent="0.25">
      <c r="A104" s="3" t="s">
        <v>564</v>
      </c>
      <c r="B104" s="3">
        <v>75884</v>
      </c>
      <c r="C104" s="10" t="s">
        <v>17</v>
      </c>
      <c r="D104" s="10" t="s">
        <v>682</v>
      </c>
      <c r="E104" s="10" t="s">
        <v>115</v>
      </c>
      <c r="F104" s="10" t="s">
        <v>188</v>
      </c>
      <c r="G104" s="10" t="s">
        <v>408</v>
      </c>
      <c r="H104" s="3">
        <v>3</v>
      </c>
      <c r="I104" s="18">
        <v>0</v>
      </c>
      <c r="J104" s="3">
        <v>2</v>
      </c>
      <c r="K104" s="18">
        <v>1</v>
      </c>
    </row>
    <row r="105" spans="1:11" x14ac:dyDescent="0.25">
      <c r="A105" s="3" t="s">
        <v>512</v>
      </c>
      <c r="B105" s="3">
        <v>75886</v>
      </c>
      <c r="C105" s="10" t="s">
        <v>17</v>
      </c>
      <c r="D105" s="10" t="s">
        <v>699</v>
      </c>
      <c r="E105" s="10" t="s">
        <v>66</v>
      </c>
      <c r="F105" s="10" t="s">
        <v>213</v>
      </c>
      <c r="G105" s="10" t="s">
        <v>356</v>
      </c>
      <c r="H105" s="3">
        <v>3</v>
      </c>
      <c r="I105" s="18">
        <v>0</v>
      </c>
      <c r="J105" s="3">
        <v>0</v>
      </c>
      <c r="K105" s="18">
        <v>1</v>
      </c>
    </row>
    <row r="106" spans="1:11" x14ac:dyDescent="0.25">
      <c r="A106" s="3" t="s">
        <v>534</v>
      </c>
      <c r="B106" s="3">
        <v>75899</v>
      </c>
      <c r="C106" s="10" t="s">
        <v>10</v>
      </c>
      <c r="D106" s="10" t="s">
        <v>711</v>
      </c>
      <c r="E106" s="10" t="s">
        <v>87</v>
      </c>
      <c r="F106" s="10" t="s">
        <v>235</v>
      </c>
      <c r="G106" s="10" t="s">
        <v>378</v>
      </c>
      <c r="H106" s="3">
        <v>3</v>
      </c>
      <c r="I106" s="18">
        <v>0</v>
      </c>
      <c r="J106" s="3">
        <v>0</v>
      </c>
      <c r="K106" s="18">
        <v>1</v>
      </c>
    </row>
    <row r="107" spans="1:11" x14ac:dyDescent="0.25">
      <c r="A107" s="3" t="s">
        <v>578</v>
      </c>
      <c r="B107" s="3">
        <v>75892</v>
      </c>
      <c r="C107" s="10" t="s">
        <v>10</v>
      </c>
      <c r="D107" s="10" t="s">
        <v>757</v>
      </c>
      <c r="E107" s="10" t="s">
        <v>127</v>
      </c>
      <c r="F107" s="10" t="s">
        <v>275</v>
      </c>
      <c r="G107" s="10" t="s">
        <v>422</v>
      </c>
      <c r="H107" s="3">
        <v>3</v>
      </c>
      <c r="I107" s="18">
        <v>0</v>
      </c>
      <c r="J107" s="3">
        <v>0</v>
      </c>
      <c r="K107" s="18">
        <v>1</v>
      </c>
    </row>
    <row r="108" spans="1:11" x14ac:dyDescent="0.25">
      <c r="A108" s="3" t="s">
        <v>565</v>
      </c>
      <c r="B108" s="3">
        <v>75891</v>
      </c>
      <c r="C108" s="10" t="s">
        <v>10</v>
      </c>
      <c r="D108" s="10" t="s">
        <v>669</v>
      </c>
      <c r="E108" s="10" t="s">
        <v>116</v>
      </c>
      <c r="F108" s="10" t="s">
        <v>263</v>
      </c>
      <c r="G108" s="10" t="s">
        <v>409</v>
      </c>
      <c r="H108" s="3">
        <v>3</v>
      </c>
      <c r="I108" s="18">
        <v>0</v>
      </c>
      <c r="J108" s="3">
        <v>2</v>
      </c>
      <c r="K108" s="18">
        <v>1</v>
      </c>
    </row>
    <row r="109" spans="1:11" x14ac:dyDescent="0.25">
      <c r="A109" s="3" t="s">
        <v>579</v>
      </c>
      <c r="B109" s="3">
        <v>75895</v>
      </c>
      <c r="C109" s="10" t="s">
        <v>10</v>
      </c>
      <c r="D109" s="10" t="s">
        <v>775</v>
      </c>
      <c r="E109" s="10" t="s">
        <v>128</v>
      </c>
      <c r="F109" s="10" t="s">
        <v>241</v>
      </c>
      <c r="G109" s="10" t="s">
        <v>423</v>
      </c>
      <c r="H109" s="3">
        <v>3</v>
      </c>
      <c r="I109" s="18">
        <v>0</v>
      </c>
      <c r="J109" s="3">
        <v>0</v>
      </c>
      <c r="K109" s="18">
        <v>1</v>
      </c>
    </row>
    <row r="110" spans="1:11" x14ac:dyDescent="0.25">
      <c r="A110" s="3" t="s">
        <v>585</v>
      </c>
      <c r="B110" s="3">
        <v>75898</v>
      </c>
      <c r="C110" s="10" t="s">
        <v>10</v>
      </c>
      <c r="D110" s="10" t="s">
        <v>774</v>
      </c>
      <c r="E110" s="10" t="s">
        <v>135</v>
      </c>
      <c r="F110" s="10" t="s">
        <v>280</v>
      </c>
      <c r="G110" s="10" t="s">
        <v>429</v>
      </c>
      <c r="H110" s="3">
        <v>3</v>
      </c>
      <c r="I110" s="18">
        <v>0</v>
      </c>
      <c r="J110" s="3">
        <v>0</v>
      </c>
      <c r="K110" s="18">
        <v>1</v>
      </c>
    </row>
    <row r="111" spans="1:11" x14ac:dyDescent="0.25">
      <c r="A111" s="3" t="s">
        <v>476</v>
      </c>
      <c r="B111" s="3">
        <v>75893</v>
      </c>
      <c r="C111" s="10" t="s">
        <v>10</v>
      </c>
      <c r="D111" s="10" t="s">
        <v>777</v>
      </c>
      <c r="E111" s="10" t="s">
        <v>30</v>
      </c>
      <c r="F111" s="10" t="s">
        <v>180</v>
      </c>
      <c r="G111" s="10" t="s">
        <v>320</v>
      </c>
      <c r="H111" s="3">
        <v>3</v>
      </c>
      <c r="I111" s="18">
        <v>0</v>
      </c>
      <c r="J111" s="3">
        <v>2</v>
      </c>
      <c r="K111" s="18">
        <v>1</v>
      </c>
    </row>
    <row r="112" spans="1:11" x14ac:dyDescent="0.25">
      <c r="A112" s="3" t="s">
        <v>582</v>
      </c>
      <c r="B112" s="3">
        <v>75890</v>
      </c>
      <c r="C112" s="10" t="s">
        <v>10</v>
      </c>
      <c r="D112" s="10" t="s">
        <v>745</v>
      </c>
      <c r="E112" s="10" t="s">
        <v>132</v>
      </c>
      <c r="F112" s="10" t="s">
        <v>278</v>
      </c>
      <c r="G112" s="10" t="s">
        <v>426</v>
      </c>
      <c r="H112" s="3">
        <v>3</v>
      </c>
      <c r="I112" s="18">
        <v>0</v>
      </c>
      <c r="J112" s="3">
        <v>0</v>
      </c>
      <c r="K112" s="18">
        <v>1</v>
      </c>
    </row>
    <row r="113" spans="1:11" x14ac:dyDescent="0.25">
      <c r="A113" s="3" t="s">
        <v>609</v>
      </c>
      <c r="B113" s="3">
        <v>75894</v>
      </c>
      <c r="C113" s="10" t="s">
        <v>15</v>
      </c>
      <c r="D113" s="10" t="s">
        <v>772</v>
      </c>
      <c r="E113" s="10" t="s">
        <v>130</v>
      </c>
      <c r="F113" s="10" t="s">
        <v>299</v>
      </c>
      <c r="G113" s="10" t="s">
        <v>453</v>
      </c>
      <c r="H113" s="3">
        <v>3</v>
      </c>
      <c r="I113" s="18">
        <v>0</v>
      </c>
      <c r="J113" s="3">
        <v>0</v>
      </c>
      <c r="K113" s="18">
        <v>1</v>
      </c>
    </row>
    <row r="114" spans="1:11" x14ac:dyDescent="0.25">
      <c r="A114" s="3" t="s">
        <v>491</v>
      </c>
      <c r="B114" s="3">
        <v>75885</v>
      </c>
      <c r="C114" s="10" t="s">
        <v>15</v>
      </c>
      <c r="D114" s="10" t="s">
        <v>747</v>
      </c>
      <c r="E114" s="10" t="s">
        <v>46</v>
      </c>
      <c r="F114" s="10" t="s">
        <v>195</v>
      </c>
      <c r="G114" s="10" t="s">
        <v>335</v>
      </c>
      <c r="H114" s="3">
        <v>3</v>
      </c>
      <c r="I114" s="18">
        <v>0</v>
      </c>
      <c r="J114" s="3">
        <v>0</v>
      </c>
      <c r="K114" s="18">
        <v>1</v>
      </c>
    </row>
    <row r="115" spans="1:11" x14ac:dyDescent="0.25">
      <c r="A115" s="3" t="s">
        <v>600</v>
      </c>
      <c r="B115" s="3">
        <v>75902</v>
      </c>
      <c r="C115" s="10" t="s">
        <v>16</v>
      </c>
      <c r="D115" s="10" t="s">
        <v>765</v>
      </c>
      <c r="E115" s="10" t="s">
        <v>149</v>
      </c>
      <c r="F115" s="10" t="s">
        <v>292</v>
      </c>
      <c r="G115" s="10" t="s">
        <v>444</v>
      </c>
      <c r="H115" s="3">
        <v>3</v>
      </c>
      <c r="I115" s="18">
        <v>0</v>
      </c>
      <c r="J115" s="3">
        <v>0</v>
      </c>
      <c r="K115" s="18">
        <v>1</v>
      </c>
    </row>
    <row r="116" spans="1:11" x14ac:dyDescent="0.25">
      <c r="A116" s="3" t="s">
        <v>612</v>
      </c>
      <c r="B116" s="3">
        <v>75942</v>
      </c>
      <c r="C116" s="10" t="s">
        <v>16</v>
      </c>
      <c r="D116" s="10" t="s">
        <v>740</v>
      </c>
      <c r="E116" s="10" t="s">
        <v>160</v>
      </c>
      <c r="F116" s="10" t="s">
        <v>302</v>
      </c>
      <c r="G116" s="10" t="s">
        <v>456</v>
      </c>
      <c r="H116" s="3">
        <v>3</v>
      </c>
      <c r="I116" s="18">
        <v>0</v>
      </c>
      <c r="J116" s="3">
        <v>0</v>
      </c>
      <c r="K116" s="18">
        <v>1</v>
      </c>
    </row>
    <row r="117" spans="1:11" x14ac:dyDescent="0.25">
      <c r="A117" s="3" t="s">
        <v>531</v>
      </c>
      <c r="B117" s="3">
        <v>75904</v>
      </c>
      <c r="C117" s="10" t="s">
        <v>16</v>
      </c>
      <c r="D117" s="10" t="s">
        <v>670</v>
      </c>
      <c r="E117" s="10" t="s">
        <v>84</v>
      </c>
      <c r="F117" s="10" t="s">
        <v>232</v>
      </c>
      <c r="G117" s="10" t="s">
        <v>375</v>
      </c>
      <c r="H117" s="3">
        <v>3</v>
      </c>
      <c r="I117" s="18">
        <v>0</v>
      </c>
      <c r="J117" s="3">
        <v>2</v>
      </c>
      <c r="K117" s="18">
        <v>1</v>
      </c>
    </row>
    <row r="118" spans="1:11" x14ac:dyDescent="0.25">
      <c r="A118" s="3" t="s">
        <v>614</v>
      </c>
      <c r="B118" s="3">
        <v>75903</v>
      </c>
      <c r="C118" s="10" t="s">
        <v>16</v>
      </c>
      <c r="D118" s="10" t="s">
        <v>637</v>
      </c>
      <c r="E118" s="10" t="s">
        <v>162</v>
      </c>
      <c r="F118" s="10" t="s">
        <v>304</v>
      </c>
      <c r="G118" s="10" t="s">
        <v>458</v>
      </c>
      <c r="H118" s="3">
        <v>3</v>
      </c>
      <c r="I118" s="18">
        <v>0</v>
      </c>
      <c r="J118" s="3">
        <v>0</v>
      </c>
      <c r="K118" s="18">
        <v>1</v>
      </c>
    </row>
    <row r="119" spans="1:11" x14ac:dyDescent="0.25">
      <c r="A119" s="3" t="s">
        <v>535</v>
      </c>
      <c r="B119" s="3">
        <v>75918</v>
      </c>
      <c r="C119" s="10" t="s">
        <v>6</v>
      </c>
      <c r="D119" s="10" t="s">
        <v>776</v>
      </c>
      <c r="E119" s="10" t="s">
        <v>88</v>
      </c>
      <c r="F119" s="10" t="s">
        <v>236</v>
      </c>
      <c r="G119" s="10" t="s">
        <v>379</v>
      </c>
      <c r="H119" s="3">
        <v>3</v>
      </c>
      <c r="I119" s="18">
        <v>1</v>
      </c>
      <c r="J119" s="3">
        <v>0</v>
      </c>
      <c r="K119" s="18">
        <v>0</v>
      </c>
    </row>
    <row r="120" spans="1:11" x14ac:dyDescent="0.25">
      <c r="A120" s="3" t="s">
        <v>553</v>
      </c>
      <c r="B120" s="3">
        <v>75915</v>
      </c>
      <c r="C120" s="10" t="s">
        <v>6</v>
      </c>
      <c r="D120" s="10" t="s">
        <v>672</v>
      </c>
      <c r="E120" s="10" t="s">
        <v>104</v>
      </c>
      <c r="F120" s="10" t="s">
        <v>253</v>
      </c>
      <c r="G120" s="10" t="s">
        <v>397</v>
      </c>
      <c r="H120" s="3">
        <v>3</v>
      </c>
      <c r="I120" s="18">
        <v>0</v>
      </c>
      <c r="J120" s="3">
        <v>0</v>
      </c>
      <c r="K120" s="18">
        <v>1</v>
      </c>
    </row>
    <row r="121" spans="1:11" x14ac:dyDescent="0.25">
      <c r="A121" s="3" t="s">
        <v>481</v>
      </c>
      <c r="B121" s="3">
        <v>75912</v>
      </c>
      <c r="C121" s="10" t="s">
        <v>6</v>
      </c>
      <c r="D121" s="10" t="s">
        <v>778</v>
      </c>
      <c r="E121" s="10" t="s">
        <v>35</v>
      </c>
      <c r="F121" s="10" t="s">
        <v>185</v>
      </c>
      <c r="G121" s="10" t="s">
        <v>325</v>
      </c>
      <c r="H121" s="3">
        <v>3</v>
      </c>
      <c r="I121" s="18">
        <v>1</v>
      </c>
      <c r="J121" s="3">
        <v>0</v>
      </c>
      <c r="K121" s="18">
        <v>0</v>
      </c>
    </row>
    <row r="122" spans="1:11" x14ac:dyDescent="0.25">
      <c r="A122" s="3" t="s">
        <v>532</v>
      </c>
      <c r="B122" s="3">
        <v>75929</v>
      </c>
      <c r="C122" s="10" t="s">
        <v>13</v>
      </c>
      <c r="D122" s="10" t="s">
        <v>640</v>
      </c>
      <c r="E122" s="10" t="s">
        <v>85</v>
      </c>
      <c r="F122" s="10" t="s">
        <v>233</v>
      </c>
      <c r="G122" s="10" t="s">
        <v>376</v>
      </c>
      <c r="H122" s="3">
        <v>3</v>
      </c>
      <c r="I122" s="18">
        <v>0</v>
      </c>
      <c r="J122" s="3">
        <v>0</v>
      </c>
      <c r="K122" s="18">
        <v>1</v>
      </c>
    </row>
    <row r="123" spans="1:11" x14ac:dyDescent="0.25">
      <c r="A123" s="3" t="s">
        <v>536</v>
      </c>
      <c r="B123" s="3">
        <v>75927</v>
      </c>
      <c r="C123" s="10" t="s">
        <v>13</v>
      </c>
      <c r="D123" s="10" t="s">
        <v>677</v>
      </c>
      <c r="E123" s="10" t="s">
        <v>89</v>
      </c>
      <c r="F123" s="10" t="s">
        <v>237</v>
      </c>
      <c r="G123" s="10" t="s">
        <v>380</v>
      </c>
      <c r="H123" s="3">
        <v>3</v>
      </c>
      <c r="I123" s="18">
        <v>0</v>
      </c>
      <c r="J123" s="3">
        <v>0</v>
      </c>
      <c r="K123" s="18">
        <v>1</v>
      </c>
    </row>
    <row r="124" spans="1:11" x14ac:dyDescent="0.25">
      <c r="A124" s="3" t="s">
        <v>572</v>
      </c>
      <c r="B124" s="3">
        <v>75923</v>
      </c>
      <c r="C124" s="10" t="s">
        <v>13</v>
      </c>
      <c r="D124" s="10" t="s">
        <v>716</v>
      </c>
      <c r="E124" s="10" t="s">
        <v>121</v>
      </c>
      <c r="F124" s="10" t="s">
        <v>270</v>
      </c>
      <c r="G124" s="10" t="s">
        <v>416</v>
      </c>
      <c r="H124" s="3">
        <v>3</v>
      </c>
      <c r="I124" s="18">
        <v>0</v>
      </c>
      <c r="J124" s="3">
        <v>0</v>
      </c>
      <c r="K124" s="18">
        <v>1</v>
      </c>
    </row>
    <row r="125" spans="1:11" x14ac:dyDescent="0.25">
      <c r="A125" s="3" t="s">
        <v>484</v>
      </c>
      <c r="B125" s="3">
        <v>75930</v>
      </c>
      <c r="C125" s="10" t="s">
        <v>13</v>
      </c>
      <c r="D125" s="10" t="s">
        <v>696</v>
      </c>
      <c r="E125" s="10" t="s">
        <v>38</v>
      </c>
      <c r="F125" s="10" t="s">
        <v>188</v>
      </c>
      <c r="G125" s="10" t="s">
        <v>328</v>
      </c>
      <c r="H125" s="3">
        <v>3</v>
      </c>
      <c r="I125" s="18">
        <v>0</v>
      </c>
      <c r="J125" s="3">
        <v>0</v>
      </c>
      <c r="K125" s="18">
        <v>1</v>
      </c>
    </row>
    <row r="126" spans="1:11" x14ac:dyDescent="0.25">
      <c r="A126" s="3" t="s">
        <v>483</v>
      </c>
      <c r="B126" s="3">
        <v>75921</v>
      </c>
      <c r="C126" s="10" t="s">
        <v>13</v>
      </c>
      <c r="D126" s="10" t="s">
        <v>750</v>
      </c>
      <c r="E126" s="10" t="s">
        <v>37</v>
      </c>
      <c r="F126" s="10" t="s">
        <v>187</v>
      </c>
      <c r="G126" s="10" t="s">
        <v>327</v>
      </c>
      <c r="H126" s="3">
        <v>3</v>
      </c>
      <c r="I126" s="18">
        <v>1</v>
      </c>
      <c r="J126" s="3">
        <v>0</v>
      </c>
      <c r="K126" s="18">
        <v>0</v>
      </c>
    </row>
    <row r="127" spans="1:11" x14ac:dyDescent="0.25">
      <c r="A127" s="3" t="s">
        <v>541</v>
      </c>
      <c r="B127" s="3">
        <v>75925</v>
      </c>
      <c r="C127" s="10" t="s">
        <v>13</v>
      </c>
      <c r="D127" s="10" t="s">
        <v>733</v>
      </c>
      <c r="E127" s="10" t="s">
        <v>93</v>
      </c>
      <c r="F127" s="10" t="s">
        <v>242</v>
      </c>
      <c r="G127" s="10" t="s">
        <v>385</v>
      </c>
      <c r="H127" s="3">
        <v>3</v>
      </c>
      <c r="I127" s="18">
        <v>0</v>
      </c>
      <c r="J127" s="3">
        <v>0</v>
      </c>
      <c r="K127" s="18">
        <v>1</v>
      </c>
    </row>
    <row r="128" spans="1:11" x14ac:dyDescent="0.25">
      <c r="A128" s="3" t="s">
        <v>494</v>
      </c>
      <c r="B128" s="3">
        <v>75924</v>
      </c>
      <c r="C128" s="10" t="s">
        <v>13</v>
      </c>
      <c r="D128" s="10" t="s">
        <v>721</v>
      </c>
      <c r="E128" s="10" t="s">
        <v>49</v>
      </c>
      <c r="F128" s="10" t="s">
        <v>198</v>
      </c>
      <c r="G128" s="10" t="s">
        <v>338</v>
      </c>
      <c r="H128" s="3">
        <v>3</v>
      </c>
      <c r="I128" s="18">
        <v>0</v>
      </c>
      <c r="J128" s="3">
        <v>0</v>
      </c>
      <c r="K128" s="18">
        <v>1</v>
      </c>
    </row>
    <row r="129" spans="1:11" x14ac:dyDescent="0.25">
      <c r="A129" s="3" t="s">
        <v>470</v>
      </c>
      <c r="B129" s="3">
        <v>75986</v>
      </c>
      <c r="C129" s="10" t="s">
        <v>3</v>
      </c>
      <c r="D129" s="10" t="s">
        <v>657</v>
      </c>
      <c r="E129" s="10" t="s">
        <v>24</v>
      </c>
      <c r="F129" s="10" t="s">
        <v>174</v>
      </c>
      <c r="G129" s="10" t="s">
        <v>314</v>
      </c>
      <c r="H129" s="3">
        <v>3</v>
      </c>
      <c r="I129" s="18">
        <v>0</v>
      </c>
      <c r="J129" s="3">
        <v>0</v>
      </c>
      <c r="K129" s="18">
        <v>1</v>
      </c>
    </row>
    <row r="130" spans="1:11" x14ac:dyDescent="0.25">
      <c r="A130" s="3" t="s">
        <v>474</v>
      </c>
      <c r="B130" s="3">
        <v>75932</v>
      </c>
      <c r="C130" s="10" t="s">
        <v>3</v>
      </c>
      <c r="D130" s="10" t="s">
        <v>695</v>
      </c>
      <c r="E130" s="10" t="s">
        <v>28</v>
      </c>
      <c r="F130" s="10" t="s">
        <v>178</v>
      </c>
      <c r="G130" s="10" t="s">
        <v>318</v>
      </c>
      <c r="H130" s="3">
        <v>3</v>
      </c>
      <c r="I130" s="18">
        <v>0</v>
      </c>
      <c r="J130" s="3">
        <v>0</v>
      </c>
      <c r="K130" s="18">
        <v>1</v>
      </c>
    </row>
    <row r="131" spans="1:11" x14ac:dyDescent="0.25">
      <c r="A131" s="3" t="s">
        <v>602</v>
      </c>
      <c r="B131" s="3">
        <v>75936</v>
      </c>
      <c r="C131" s="10" t="s">
        <v>3</v>
      </c>
      <c r="D131" s="10" t="s">
        <v>726</v>
      </c>
      <c r="E131" s="10" t="s">
        <v>151</v>
      </c>
      <c r="F131" s="10" t="s">
        <v>269</v>
      </c>
      <c r="G131" s="10" t="s">
        <v>446</v>
      </c>
      <c r="H131" s="3">
        <v>3</v>
      </c>
      <c r="I131" s="18">
        <v>0</v>
      </c>
      <c r="J131" s="3">
        <v>0</v>
      </c>
      <c r="K131" s="18">
        <v>1</v>
      </c>
    </row>
    <row r="132" spans="1:11" x14ac:dyDescent="0.25">
      <c r="A132" s="3" t="s">
        <v>540</v>
      </c>
      <c r="B132" s="3">
        <v>75939</v>
      </c>
      <c r="C132" s="10" t="s">
        <v>3</v>
      </c>
      <c r="D132" s="10" t="s">
        <v>714</v>
      </c>
      <c r="E132" s="10" t="s">
        <v>86</v>
      </c>
      <c r="F132" s="10" t="s">
        <v>241</v>
      </c>
      <c r="G132" s="10" t="s">
        <v>384</v>
      </c>
      <c r="H132" s="3">
        <v>3</v>
      </c>
      <c r="I132" s="18">
        <v>0</v>
      </c>
      <c r="J132" s="3">
        <v>0</v>
      </c>
      <c r="K132" s="18">
        <v>1</v>
      </c>
    </row>
    <row r="133" spans="1:11" x14ac:dyDescent="0.25">
      <c r="A133" s="3" t="s">
        <v>533</v>
      </c>
      <c r="B133" s="3">
        <v>75938</v>
      </c>
      <c r="C133" s="10" t="s">
        <v>3</v>
      </c>
      <c r="D133" s="10" t="s">
        <v>706</v>
      </c>
      <c r="E133" s="10" t="s">
        <v>86</v>
      </c>
      <c r="F133" s="10" t="s">
        <v>234</v>
      </c>
      <c r="G133" s="10" t="s">
        <v>377</v>
      </c>
      <c r="H133" s="3">
        <v>3</v>
      </c>
      <c r="I133" s="18">
        <v>0</v>
      </c>
      <c r="J133" s="3">
        <v>0</v>
      </c>
      <c r="K133" s="18">
        <v>1</v>
      </c>
    </row>
    <row r="134" spans="1:11" x14ac:dyDescent="0.25">
      <c r="A134" s="3" t="s">
        <v>501</v>
      </c>
      <c r="B134" s="3">
        <v>74210</v>
      </c>
      <c r="C134" s="10" t="s">
        <v>3</v>
      </c>
      <c r="D134" s="10" t="s">
        <v>758</v>
      </c>
      <c r="E134" s="10" t="s">
        <v>56</v>
      </c>
      <c r="F134" s="10" t="s">
        <v>203</v>
      </c>
      <c r="G134" s="10" t="s">
        <v>345</v>
      </c>
      <c r="H134" s="3">
        <v>3</v>
      </c>
      <c r="I134" s="18">
        <v>0</v>
      </c>
      <c r="J134" s="3">
        <v>0</v>
      </c>
      <c r="K134" s="18">
        <v>1</v>
      </c>
    </row>
    <row r="135" spans="1:11" x14ac:dyDescent="0.25">
      <c r="A135" s="3" t="s">
        <v>571</v>
      </c>
      <c r="B135" s="3">
        <v>75947</v>
      </c>
      <c r="C135" s="10" t="s">
        <v>8</v>
      </c>
      <c r="D135" s="10" t="s">
        <v>673</v>
      </c>
      <c r="E135" s="10" t="s">
        <v>120</v>
      </c>
      <c r="F135" s="10" t="s">
        <v>212</v>
      </c>
      <c r="G135" s="10" t="s">
        <v>415</v>
      </c>
      <c r="H135" s="3">
        <v>3</v>
      </c>
      <c r="I135" s="18">
        <v>0</v>
      </c>
      <c r="J135" s="3">
        <v>0</v>
      </c>
      <c r="K135" s="18">
        <v>1</v>
      </c>
    </row>
    <row r="136" spans="1:11" x14ac:dyDescent="0.25">
      <c r="A136" s="3" t="s">
        <v>583</v>
      </c>
      <c r="B136" s="3">
        <v>75940</v>
      </c>
      <c r="C136" s="10" t="s">
        <v>8</v>
      </c>
      <c r="D136" s="10" t="s">
        <v>676</v>
      </c>
      <c r="E136" s="10" t="s">
        <v>133</v>
      </c>
      <c r="F136" s="10" t="s">
        <v>279</v>
      </c>
      <c r="G136" s="10" t="s">
        <v>427</v>
      </c>
      <c r="H136" s="3">
        <v>3</v>
      </c>
      <c r="I136" s="18">
        <v>0</v>
      </c>
      <c r="J136" s="3">
        <v>0</v>
      </c>
      <c r="K136" s="18">
        <v>1</v>
      </c>
    </row>
    <row r="137" spans="1:11" x14ac:dyDescent="0.25">
      <c r="A137" s="3" t="s">
        <v>472</v>
      </c>
      <c r="B137" s="3">
        <v>75944</v>
      </c>
      <c r="C137" s="10" t="s">
        <v>8</v>
      </c>
      <c r="D137" s="10" t="s">
        <v>743</v>
      </c>
      <c r="E137" s="10" t="s">
        <v>26</v>
      </c>
      <c r="F137" s="10" t="s">
        <v>176</v>
      </c>
      <c r="G137" s="10" t="s">
        <v>316</v>
      </c>
      <c r="H137" s="3">
        <v>3</v>
      </c>
      <c r="I137" s="18">
        <v>0</v>
      </c>
      <c r="J137" s="3">
        <v>0</v>
      </c>
      <c r="K137" s="18">
        <v>1</v>
      </c>
    </row>
    <row r="138" spans="1:11" x14ac:dyDescent="0.25">
      <c r="A138" s="3" t="s">
        <v>542</v>
      </c>
      <c r="B138" s="3">
        <v>75945</v>
      </c>
      <c r="C138" s="10" t="s">
        <v>8</v>
      </c>
      <c r="D138" s="10" t="s">
        <v>697</v>
      </c>
      <c r="E138" s="10" t="s">
        <v>94</v>
      </c>
      <c r="F138" s="10" t="s">
        <v>243</v>
      </c>
      <c r="G138" s="10" t="s">
        <v>386</v>
      </c>
      <c r="H138" s="3">
        <v>3</v>
      </c>
      <c r="I138" s="18">
        <v>0</v>
      </c>
      <c r="J138" s="3">
        <v>0</v>
      </c>
      <c r="K138" s="18">
        <v>1</v>
      </c>
    </row>
    <row r="139" spans="1:11" x14ac:dyDescent="0.25">
      <c r="A139" s="3" t="s">
        <v>477</v>
      </c>
      <c r="B139" s="3">
        <v>75946</v>
      </c>
      <c r="C139" s="10" t="s">
        <v>8</v>
      </c>
      <c r="D139" s="10" t="s">
        <v>683</v>
      </c>
      <c r="E139" s="10" t="s">
        <v>31</v>
      </c>
      <c r="F139" s="10" t="s">
        <v>181</v>
      </c>
      <c r="G139" s="10" t="s">
        <v>321</v>
      </c>
      <c r="H139" s="3">
        <v>3</v>
      </c>
      <c r="I139" s="18">
        <v>0</v>
      </c>
      <c r="J139" s="3">
        <v>0</v>
      </c>
      <c r="K139" s="18">
        <v>1</v>
      </c>
    </row>
    <row r="140" spans="1:11" x14ac:dyDescent="0.25">
      <c r="A140" s="3" t="s">
        <v>577</v>
      </c>
      <c r="B140" s="3">
        <v>75951</v>
      </c>
      <c r="C140" s="10" t="s">
        <v>5</v>
      </c>
      <c r="D140" s="10" t="s">
        <v>735</v>
      </c>
      <c r="E140" s="10" t="s">
        <v>126</v>
      </c>
      <c r="F140" s="10" t="s">
        <v>274</v>
      </c>
      <c r="G140" s="10" t="s">
        <v>421</v>
      </c>
      <c r="H140" s="3">
        <v>3</v>
      </c>
      <c r="I140" s="18">
        <v>0</v>
      </c>
      <c r="J140" s="3">
        <v>0</v>
      </c>
      <c r="K140" s="18">
        <v>1</v>
      </c>
    </row>
    <row r="141" spans="1:11" x14ac:dyDescent="0.25">
      <c r="A141" s="3" t="s">
        <v>468</v>
      </c>
      <c r="B141" s="3">
        <v>75950</v>
      </c>
      <c r="C141" s="10" t="s">
        <v>5</v>
      </c>
      <c r="D141" s="10" t="s">
        <v>701</v>
      </c>
      <c r="E141" s="10" t="s">
        <v>22</v>
      </c>
      <c r="F141" s="10" t="s">
        <v>172</v>
      </c>
      <c r="G141" s="10" t="s">
        <v>312</v>
      </c>
      <c r="H141" s="3">
        <v>3</v>
      </c>
      <c r="I141" s="18">
        <v>0</v>
      </c>
      <c r="J141" s="3">
        <v>0</v>
      </c>
      <c r="K141" s="18">
        <v>1</v>
      </c>
    </row>
    <row r="142" spans="1:11" x14ac:dyDescent="0.25">
      <c r="A142" s="3" t="s">
        <v>550</v>
      </c>
      <c r="B142" s="3">
        <v>75957</v>
      </c>
      <c r="C142" s="10" t="s">
        <v>5</v>
      </c>
      <c r="D142" s="10" t="s">
        <v>736</v>
      </c>
      <c r="E142" s="10" t="s">
        <v>101</v>
      </c>
      <c r="F142" s="10" t="s">
        <v>250</v>
      </c>
      <c r="G142" s="10" t="s">
        <v>394</v>
      </c>
      <c r="H142" s="3">
        <v>3</v>
      </c>
      <c r="I142" s="18">
        <v>0</v>
      </c>
      <c r="J142" s="3">
        <v>0</v>
      </c>
      <c r="K142" s="18">
        <v>1</v>
      </c>
    </row>
    <row r="143" spans="1:11" x14ac:dyDescent="0.25">
      <c r="A143" s="3" t="s">
        <v>599</v>
      </c>
      <c r="B143" s="3">
        <v>75959</v>
      </c>
      <c r="C143" s="10" t="s">
        <v>5</v>
      </c>
      <c r="D143" s="10" t="s">
        <v>739</v>
      </c>
      <c r="E143" s="10" t="s">
        <v>148</v>
      </c>
      <c r="F143" s="10" t="s">
        <v>291</v>
      </c>
      <c r="G143" s="10" t="s">
        <v>443</v>
      </c>
      <c r="H143" s="3">
        <v>3</v>
      </c>
      <c r="I143" s="18">
        <v>0</v>
      </c>
      <c r="J143" s="3">
        <v>2</v>
      </c>
      <c r="K143" s="18">
        <v>1</v>
      </c>
    </row>
    <row r="144" spans="1:11" x14ac:dyDescent="0.25">
      <c r="A144" s="3" t="s">
        <v>589</v>
      </c>
      <c r="B144" s="3">
        <v>75958</v>
      </c>
      <c r="C144" s="10" t="s">
        <v>5</v>
      </c>
      <c r="D144" s="10" t="s">
        <v>635</v>
      </c>
      <c r="E144" s="10" t="s">
        <v>139</v>
      </c>
      <c r="F144" s="10" t="s">
        <v>284</v>
      </c>
      <c r="G144" s="10" t="s">
        <v>433</v>
      </c>
      <c r="H144" s="3">
        <v>3</v>
      </c>
      <c r="I144" s="18">
        <v>0</v>
      </c>
      <c r="J144" s="3">
        <v>0</v>
      </c>
      <c r="K144" s="18">
        <v>1</v>
      </c>
    </row>
    <row r="145" spans="1:11" x14ac:dyDescent="0.25">
      <c r="A145" s="3" t="s">
        <v>616</v>
      </c>
      <c r="B145" s="3">
        <v>75952</v>
      </c>
      <c r="C145" s="10" t="s">
        <v>5</v>
      </c>
      <c r="D145" s="10" t="s">
        <v>754</v>
      </c>
      <c r="E145" s="10" t="s">
        <v>164</v>
      </c>
      <c r="F145" s="10" t="s">
        <v>305</v>
      </c>
      <c r="G145" s="10" t="s">
        <v>460</v>
      </c>
      <c r="H145" s="3">
        <v>3</v>
      </c>
      <c r="I145" s="18">
        <v>0</v>
      </c>
      <c r="J145" s="3">
        <v>0</v>
      </c>
      <c r="K145" s="18">
        <v>1</v>
      </c>
    </row>
    <row r="146" spans="1:11" x14ac:dyDescent="0.25">
      <c r="A146" s="3" t="s">
        <v>495</v>
      </c>
      <c r="B146" s="3">
        <v>75954</v>
      </c>
      <c r="C146" s="10" t="s">
        <v>5</v>
      </c>
      <c r="D146" s="10" t="s">
        <v>742</v>
      </c>
      <c r="E146" s="10" t="s">
        <v>50</v>
      </c>
      <c r="F146" s="10" t="s">
        <v>199</v>
      </c>
      <c r="G146" s="10" t="s">
        <v>339</v>
      </c>
      <c r="H146" s="3">
        <v>3</v>
      </c>
      <c r="I146" s="18">
        <v>0</v>
      </c>
      <c r="J146" s="3">
        <v>0</v>
      </c>
      <c r="K146" s="18">
        <v>1</v>
      </c>
    </row>
    <row r="147" spans="1:11" x14ac:dyDescent="0.25">
      <c r="A147" s="3" t="s">
        <v>561</v>
      </c>
      <c r="B147" s="3">
        <v>75964</v>
      </c>
      <c r="C147" s="10" t="s">
        <v>11</v>
      </c>
      <c r="D147" s="10" t="s">
        <v>722</v>
      </c>
      <c r="E147" s="10" t="s">
        <v>112</v>
      </c>
      <c r="F147" s="10" t="s">
        <v>261</v>
      </c>
      <c r="G147" s="10" t="s">
        <v>405</v>
      </c>
      <c r="H147" s="3">
        <v>3</v>
      </c>
      <c r="I147" s="18">
        <v>0</v>
      </c>
      <c r="J147" s="3">
        <v>0</v>
      </c>
      <c r="K147" s="18">
        <v>1</v>
      </c>
    </row>
    <row r="148" spans="1:11" x14ac:dyDescent="0.25">
      <c r="A148" s="3" t="s">
        <v>530</v>
      </c>
      <c r="B148" s="3">
        <v>75966</v>
      </c>
      <c r="C148" s="10" t="s">
        <v>11</v>
      </c>
      <c r="D148" s="10" t="s">
        <v>746</v>
      </c>
      <c r="E148" s="10" t="s">
        <v>83</v>
      </c>
      <c r="F148" s="10" t="s">
        <v>231</v>
      </c>
      <c r="G148" s="10" t="s">
        <v>374</v>
      </c>
      <c r="H148" s="3">
        <v>3</v>
      </c>
      <c r="I148" s="18">
        <v>0</v>
      </c>
      <c r="J148" s="3">
        <v>0</v>
      </c>
      <c r="K148" s="18">
        <v>1</v>
      </c>
    </row>
    <row r="149" spans="1:11" x14ac:dyDescent="0.25">
      <c r="A149" s="3" t="s">
        <v>471</v>
      </c>
      <c r="B149" s="3">
        <v>75974</v>
      </c>
      <c r="C149" s="10" t="s">
        <v>7</v>
      </c>
      <c r="D149" s="10" t="s">
        <v>741</v>
      </c>
      <c r="E149" s="10" t="s">
        <v>25</v>
      </c>
      <c r="F149" s="10" t="s">
        <v>175</v>
      </c>
      <c r="G149" s="10" t="s">
        <v>315</v>
      </c>
      <c r="H149" s="3">
        <v>3</v>
      </c>
      <c r="I149" s="18">
        <v>0</v>
      </c>
      <c r="J149" s="3">
        <v>0</v>
      </c>
      <c r="K149" s="18">
        <v>1</v>
      </c>
    </row>
    <row r="150" spans="1:11" x14ac:dyDescent="0.25">
      <c r="A150" s="3" t="s">
        <v>615</v>
      </c>
      <c r="B150" s="3">
        <v>75831</v>
      </c>
      <c r="C150" s="10" t="s">
        <v>7</v>
      </c>
      <c r="D150" s="10" t="s">
        <v>636</v>
      </c>
      <c r="E150" s="10" t="s">
        <v>163</v>
      </c>
      <c r="F150" s="10" t="s">
        <v>299</v>
      </c>
      <c r="G150" s="10" t="s">
        <v>459</v>
      </c>
      <c r="H150" s="3">
        <v>3</v>
      </c>
      <c r="I150" s="18">
        <v>0</v>
      </c>
      <c r="J150" s="3">
        <v>0</v>
      </c>
      <c r="K150" s="18">
        <v>1</v>
      </c>
    </row>
    <row r="151" spans="1:11" x14ac:dyDescent="0.25">
      <c r="A151" s="3" t="s">
        <v>598</v>
      </c>
      <c r="B151" s="3">
        <v>75984</v>
      </c>
      <c r="C151" s="10" t="s">
        <v>7</v>
      </c>
      <c r="D151" s="10" t="s">
        <v>691</v>
      </c>
      <c r="E151" s="10" t="s">
        <v>147</v>
      </c>
      <c r="F151" s="10" t="s">
        <v>290</v>
      </c>
      <c r="G151" s="10" t="s">
        <v>442</v>
      </c>
      <c r="H151" s="3">
        <v>3</v>
      </c>
      <c r="I151" s="18">
        <v>0</v>
      </c>
      <c r="J151" s="3">
        <v>0</v>
      </c>
      <c r="K151" s="18">
        <v>1</v>
      </c>
    </row>
    <row r="152" spans="1:11" x14ac:dyDescent="0.25">
      <c r="A152" s="3" t="s">
        <v>592</v>
      </c>
      <c r="B152" s="3">
        <v>75971</v>
      </c>
      <c r="C152" s="10" t="s">
        <v>7</v>
      </c>
      <c r="D152" s="10" t="s">
        <v>751</v>
      </c>
      <c r="E152" s="10" t="s">
        <v>141</v>
      </c>
      <c r="F152" s="10" t="s">
        <v>169</v>
      </c>
      <c r="G152" s="10" t="s">
        <v>436</v>
      </c>
      <c r="H152" s="3">
        <v>3</v>
      </c>
      <c r="I152" s="18">
        <v>1</v>
      </c>
      <c r="J152" s="3">
        <v>0</v>
      </c>
      <c r="K152" s="18">
        <v>0</v>
      </c>
    </row>
    <row r="153" spans="1:11" x14ac:dyDescent="0.25">
      <c r="A153" s="3" t="s">
        <v>490</v>
      </c>
      <c r="B153" s="3">
        <v>74211</v>
      </c>
      <c r="C153" s="10" t="s">
        <v>6</v>
      </c>
      <c r="D153" s="10" t="s">
        <v>773</v>
      </c>
      <c r="E153" s="10" t="s">
        <v>44</v>
      </c>
      <c r="F153" s="10" t="s">
        <v>194</v>
      </c>
      <c r="G153" s="10" t="s">
        <v>334</v>
      </c>
      <c r="H153" s="3">
        <v>1</v>
      </c>
      <c r="I153" s="18">
        <v>0</v>
      </c>
      <c r="J153" s="3">
        <v>0</v>
      </c>
      <c r="K153" s="18">
        <v>1</v>
      </c>
    </row>
    <row r="154" spans="1:11" x14ac:dyDescent="0.25">
      <c r="A154" s="3" t="s">
        <v>611</v>
      </c>
      <c r="B154" s="3">
        <v>75943</v>
      </c>
      <c r="C154" s="10" t="s">
        <v>13</v>
      </c>
      <c r="D154" s="10" t="s">
        <v>766</v>
      </c>
      <c r="E154" s="10" t="s">
        <v>159</v>
      </c>
      <c r="F154" s="10" t="s">
        <v>301</v>
      </c>
      <c r="G154" s="10" t="s">
        <v>455</v>
      </c>
      <c r="H154" s="3">
        <v>1</v>
      </c>
      <c r="I154" s="18">
        <v>0</v>
      </c>
      <c r="J154" s="3">
        <v>0</v>
      </c>
      <c r="K154" s="18">
        <v>1</v>
      </c>
    </row>
    <row r="155" spans="1:11" x14ac:dyDescent="0.25">
      <c r="A155" s="3" t="s">
        <v>539</v>
      </c>
      <c r="B155" s="3">
        <v>75948</v>
      </c>
      <c r="C155" s="10" t="s">
        <v>8</v>
      </c>
      <c r="D155" s="10" t="s">
        <v>665</v>
      </c>
      <c r="E155" s="10" t="s">
        <v>92</v>
      </c>
      <c r="F155" s="10" t="s">
        <v>240</v>
      </c>
      <c r="G155" s="10" t="s">
        <v>383</v>
      </c>
      <c r="H155" s="3">
        <v>3</v>
      </c>
      <c r="I155" s="18">
        <v>0</v>
      </c>
      <c r="J155" s="3">
        <v>0</v>
      </c>
      <c r="K155" s="18">
        <v>1</v>
      </c>
    </row>
    <row r="156" spans="1:11" x14ac:dyDescent="0.25">
      <c r="A156" s="3" t="s">
        <v>478</v>
      </c>
      <c r="B156" s="3">
        <v>75941</v>
      </c>
      <c r="C156" s="10" t="s">
        <v>8</v>
      </c>
      <c r="D156" s="10" t="s">
        <v>767</v>
      </c>
      <c r="E156" s="10" t="s">
        <v>32</v>
      </c>
      <c r="F156" s="10" t="s">
        <v>182</v>
      </c>
      <c r="G156" s="10" t="s">
        <v>322</v>
      </c>
      <c r="H156" s="3">
        <v>3</v>
      </c>
      <c r="I156" s="18">
        <v>0</v>
      </c>
      <c r="J156" s="3">
        <v>0</v>
      </c>
      <c r="K156" s="18">
        <v>1</v>
      </c>
    </row>
    <row r="157" spans="1:11" x14ac:dyDescent="0.25">
      <c r="A157" s="3" t="s">
        <v>529</v>
      </c>
      <c r="B157" s="3">
        <v>75977</v>
      </c>
      <c r="C157" s="10" t="s">
        <v>7</v>
      </c>
      <c r="D157" s="10" t="s">
        <v>760</v>
      </c>
      <c r="E157" s="10" t="s">
        <v>82</v>
      </c>
      <c r="F157" s="10" t="s">
        <v>230</v>
      </c>
      <c r="G157" s="10" t="s">
        <v>373</v>
      </c>
      <c r="H157" s="3">
        <v>1</v>
      </c>
      <c r="I157" s="18">
        <v>0</v>
      </c>
      <c r="J157" s="3">
        <v>0</v>
      </c>
      <c r="K157" s="18">
        <v>1</v>
      </c>
    </row>
  </sheetData>
  <autoFilter ref="A2:K157" xr:uid="{DAE0303F-79BF-4A7B-B711-537864C954F6}"/>
  <sortState xmlns:xlrd2="http://schemas.microsoft.com/office/spreadsheetml/2017/richdata2" ref="S2:S157">
    <sortCondition ref="S2:S157"/>
  </sortState>
  <mergeCells count="1">
    <mergeCell ref="A1:H1"/>
  </mergeCells>
  <conditionalFormatting sqref="A3:K1000">
    <cfRule type="expression" dxfId="0" priority="1">
      <formula>AND(LEN(A2)&gt;0,MOD(ROW(A2),2)=0)</formula>
    </cfRule>
  </conditionalFormatting>
  <pageMargins left="0.7" right="0.7" top="0.75" bottom="0.75" header="0.3" footer="0.3"/>
  <legacyDrawing r:id="rId1"/>
</worksheet>
</file>

<file path=docMetadata/LabelInfo.xml><?xml version="1.0" encoding="utf-8"?>
<clbl:labelList xmlns:clbl="http://schemas.microsoft.com/office/2020/mipLabelMetadata">
  <clbl:label id="{11d0e217-264e-400a-8ba0-57dcc127d72d}" enabled="0" method="" siteId="{11d0e217-264e-400a-8ba0-57dcc127d72d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wkrData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Huson, Andrew (DCYF)</dc:creator>
  <cp:lastModifiedBy>Huson, Andrew (DCYF)</cp:lastModifiedBy>
  <dcterms:created xsi:type="dcterms:W3CDTF">2026-10-02T23:43:07Z</dcterms:created>
  <dcterms:modified xsi:type="dcterms:W3CDTF">2026-10-05T23:26:05Z</dcterms:modified>
</cp:coreProperties>
</file>